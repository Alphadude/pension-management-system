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per\OneDrive\Desktop\"/>
    </mc:Choice>
  </mc:AlternateContent>
  <xr:revisionPtr revIDLastSave="0" documentId="13_ncr:1_{63EC8248-1704-4D53-8FD8-39418DCF69B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ash Book" sheetId="1" r:id="rId1"/>
    <sheet name="Fixed Asset" sheetId="5" r:id="rId2"/>
    <sheet name="Trial Balance " sheetId="36" r:id="rId3"/>
    <sheet name=" Notes to the Account" sheetId="4" r:id="rId4"/>
    <sheet name="Income Statement" sheetId="11" r:id="rId5"/>
    <sheet name="Final Account" sheetId="6" r:id="rId6"/>
  </sheets>
  <definedNames>
    <definedName name="_xlnm.Print_Area" localSheetId="5">'Final Account'!$A$2:$G$21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6" l="1"/>
  <c r="E270" i="4"/>
  <c r="N31" i="1"/>
  <c r="E125" i="4"/>
  <c r="E50" i="4"/>
  <c r="D50" i="4" l="1"/>
  <c r="N41" i="1"/>
  <c r="D252" i="4"/>
  <c r="D70" i="4"/>
  <c r="E15" i="6" s="1"/>
  <c r="D155" i="4" l="1"/>
  <c r="C164" i="4"/>
  <c r="C158" i="4"/>
  <c r="D158" i="4" s="1"/>
  <c r="D157" i="4"/>
  <c r="D243" i="4"/>
  <c r="D125" i="4"/>
  <c r="G16" i="6"/>
  <c r="G20" i="6" s="1"/>
  <c r="D253" i="4"/>
  <c r="D255" i="4" s="1"/>
  <c r="D261" i="4" s="1"/>
  <c r="G21" i="6"/>
  <c r="E243" i="4" l="1"/>
  <c r="E232" i="4"/>
  <c r="E227" i="4"/>
  <c r="E194" i="4"/>
  <c r="E188" i="4"/>
  <c r="E181" i="4"/>
  <c r="E164" i="4"/>
  <c r="E135" i="4"/>
  <c r="E78" i="4"/>
  <c r="E66" i="4"/>
  <c r="E13" i="4"/>
  <c r="D181" i="4" l="1"/>
  <c r="D10" i="11" s="1"/>
  <c r="D232" i="4"/>
  <c r="D13" i="4"/>
  <c r="E7" i="6" s="1"/>
  <c r="D16" i="4"/>
  <c r="N64" i="1"/>
  <c r="D227" i="4"/>
  <c r="D66" i="4" l="1"/>
  <c r="D22" i="4"/>
  <c r="D173" i="4"/>
  <c r="D161" i="4"/>
  <c r="D160" i="4"/>
  <c r="D156" i="4"/>
  <c r="D154" i="4"/>
  <c r="C277" i="4"/>
  <c r="D135" i="4"/>
  <c r="C53" i="36"/>
  <c r="C55" i="36" s="1"/>
  <c r="C97" i="36" s="1"/>
  <c r="C99" i="36" s="1"/>
  <c r="C111" i="36" s="1"/>
  <c r="F11" i="5"/>
  <c r="D53" i="36"/>
  <c r="D55" i="36" s="1"/>
  <c r="D97" i="36" s="1"/>
  <c r="D99" i="36" s="1"/>
  <c r="D111" i="36" s="1"/>
  <c r="C113" i="36" l="1"/>
  <c r="D164" i="4"/>
  <c r="N32" i="1" l="1"/>
  <c r="N33" i="1"/>
  <c r="N34" i="1"/>
  <c r="N35" i="1"/>
  <c r="N36" i="1"/>
  <c r="N37" i="1"/>
  <c r="N38" i="1"/>
  <c r="N39" i="1"/>
  <c r="N40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5" i="1"/>
  <c r="N66" i="1"/>
  <c r="N67" i="1"/>
  <c r="N68" i="1"/>
  <c r="N69" i="1"/>
  <c r="N70" i="1"/>
  <c r="N71" i="1"/>
  <c r="N72" i="1"/>
  <c r="N73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9" i="1"/>
  <c r="M25" i="1"/>
  <c r="L78" i="1" l="1"/>
  <c r="L25" i="1"/>
  <c r="L27" i="1" s="1"/>
  <c r="K78" i="1" l="1"/>
  <c r="K25" i="1"/>
  <c r="K27" i="1" s="1"/>
  <c r="N29" i="1" l="1"/>
  <c r="N30" i="1"/>
  <c r="N25" i="1" l="1"/>
  <c r="F19" i="6"/>
  <c r="D171" i="4" l="1"/>
  <c r="D265" i="4" l="1"/>
  <c r="D269" i="4" s="1"/>
  <c r="F13" i="6" l="1"/>
  <c r="D276" i="4" l="1"/>
  <c r="D278" i="4" l="1"/>
  <c r="D17" i="4"/>
  <c r="C78" i="1" l="1"/>
  <c r="D78" i="1"/>
  <c r="E78" i="1"/>
  <c r="F78" i="1"/>
  <c r="G78" i="1"/>
  <c r="H78" i="1"/>
  <c r="I78" i="1"/>
  <c r="J78" i="1"/>
  <c r="B78" i="1"/>
  <c r="H25" i="1"/>
  <c r="H27" i="1" s="1"/>
  <c r="I25" i="1"/>
  <c r="I27" i="1" s="1"/>
  <c r="J25" i="1"/>
  <c r="J27" i="1" s="1"/>
  <c r="H28" i="1" l="1"/>
  <c r="N28" i="1" s="1"/>
  <c r="C147" i="4" l="1"/>
  <c r="F15" i="6"/>
  <c r="E7" i="5"/>
  <c r="F7" i="5"/>
  <c r="D194" i="4"/>
  <c r="D188" i="4"/>
  <c r="F12" i="5" l="1"/>
  <c r="G25" i="1" l="1"/>
  <c r="G27" i="1" s="1"/>
  <c r="F26" i="1" l="1"/>
  <c r="F25" i="1"/>
  <c r="F27" i="1" l="1"/>
  <c r="E25" i="1"/>
  <c r="E27" i="1" s="1"/>
  <c r="D16" i="11" l="1"/>
  <c r="D22" i="11" s="1"/>
  <c r="C7" i="5"/>
  <c r="D142" i="4" l="1"/>
  <c r="D168" i="4"/>
  <c r="D170" i="4" s="1"/>
  <c r="D172" i="4" l="1"/>
  <c r="D174" i="4" s="1"/>
  <c r="D25" i="1" l="1"/>
  <c r="D27" i="1" s="1"/>
  <c r="C25" i="1"/>
  <c r="C27" i="1" s="1"/>
  <c r="L9" i="5" l="1"/>
  <c r="G11" i="5"/>
  <c r="H11" i="5"/>
  <c r="I11" i="5"/>
  <c r="J11" i="5"/>
  <c r="K11" i="5"/>
  <c r="B26" i="1" l="1"/>
  <c r="B25" i="1"/>
  <c r="B27" i="1" l="1"/>
  <c r="E11" i="6" l="1"/>
  <c r="F11" i="6" s="1"/>
  <c r="L5" i="5" l="1"/>
  <c r="D7" i="5"/>
  <c r="G7" i="5"/>
  <c r="H7" i="5"/>
  <c r="I7" i="5"/>
  <c r="J7" i="5"/>
  <c r="K7" i="5"/>
  <c r="B7" i="5"/>
  <c r="K12" i="5" l="1"/>
  <c r="G12" i="5"/>
  <c r="I12" i="5"/>
  <c r="J12" i="5"/>
  <c r="H12" i="5"/>
  <c r="L7" i="5"/>
  <c r="L10" i="5" l="1"/>
  <c r="L11" i="5" l="1"/>
  <c r="L12" i="5" l="1"/>
  <c r="F14" i="6"/>
  <c r="F8" i="6" l="1"/>
  <c r="D78" i="4" l="1"/>
  <c r="F12" i="6" l="1"/>
  <c r="F9" i="6"/>
  <c r="F10" i="6"/>
  <c r="D16" i="6" l="1"/>
  <c r="C16" i="6" l="1"/>
  <c r="C20" i="6" s="1"/>
  <c r="D20" i="6" l="1"/>
  <c r="F7" i="6" l="1"/>
  <c r="F16" i="6" s="1"/>
  <c r="E16" i="6"/>
  <c r="E20" i="6" s="1"/>
  <c r="F20" i="6" s="1"/>
  <c r="M78" i="1" l="1"/>
  <c r="M26" i="1" s="1"/>
  <c r="M27" i="1" s="1"/>
  <c r="N78" i="1"/>
  <c r="N26" i="1" s="1"/>
  <c r="N27" i="1" s="1"/>
</calcChain>
</file>

<file path=xl/sharedStrings.xml><?xml version="1.0" encoding="utf-8"?>
<sst xmlns="http://schemas.openxmlformats.org/spreadsheetml/2006/main" count="577" uniqueCount="403">
  <si>
    <t>SUPERANNUATION FUND OF THE NIGER ANGLICAN CHURCHES</t>
  </si>
  <si>
    <t>RECIEPT AND PAYMENT</t>
  </si>
  <si>
    <t>BAL-Cash</t>
  </si>
  <si>
    <t>FBN 1</t>
  </si>
  <si>
    <t>FBN 2</t>
  </si>
  <si>
    <t>Zenith Bank</t>
  </si>
  <si>
    <t>Contribution</t>
  </si>
  <si>
    <t>Intrest Income</t>
  </si>
  <si>
    <t>Seminer fee</t>
  </si>
  <si>
    <t>PAYMENT</t>
  </si>
  <si>
    <t>Postage</t>
  </si>
  <si>
    <t>Office Entertainment</t>
  </si>
  <si>
    <t>Car Running Cost</t>
  </si>
  <si>
    <t>Light/Power</t>
  </si>
  <si>
    <t>Hospitality</t>
  </si>
  <si>
    <t>Repairs</t>
  </si>
  <si>
    <t>Telephone</t>
  </si>
  <si>
    <t>General Transport</t>
  </si>
  <si>
    <t>Salaries/Allowances</t>
  </si>
  <si>
    <t>Bank Charges</t>
  </si>
  <si>
    <t>EXCO Transport</t>
  </si>
  <si>
    <t>Seminar for Fin. Sec</t>
  </si>
  <si>
    <t>Newspappers</t>
  </si>
  <si>
    <t>Pensions Paid</t>
  </si>
  <si>
    <t>Contribution Refund</t>
  </si>
  <si>
    <t>Equipment</t>
  </si>
  <si>
    <t>Dividend</t>
  </si>
  <si>
    <t>Audit Fee</t>
  </si>
  <si>
    <t xml:space="preserve">  </t>
  </si>
  <si>
    <t>Details</t>
  </si>
  <si>
    <t>Dr</t>
  </si>
  <si>
    <t>Cr</t>
  </si>
  <si>
    <t>(N)</t>
  </si>
  <si>
    <t>UK Investment</t>
  </si>
  <si>
    <t>ICON Brokers</t>
  </si>
  <si>
    <t>Debtors</t>
  </si>
  <si>
    <t>Bookshop House: Niger Diocese</t>
  </si>
  <si>
    <t xml:space="preserve">                                 Enugu Diocese</t>
  </si>
  <si>
    <t xml:space="preserve">                                 Niger Delta Diocese</t>
  </si>
  <si>
    <t xml:space="preserve">                                 Aba Diocese</t>
  </si>
  <si>
    <t>PAYE</t>
  </si>
  <si>
    <t>Contribution in Advance</t>
  </si>
  <si>
    <t>Accumulated Fund</t>
  </si>
  <si>
    <t>Depreciation</t>
  </si>
  <si>
    <t>Stationery</t>
  </si>
  <si>
    <t>Interest Income</t>
  </si>
  <si>
    <t>FBN II</t>
  </si>
  <si>
    <t>CCB (in Liquidation)</t>
  </si>
  <si>
    <t xml:space="preserve">FBN Dom II </t>
  </si>
  <si>
    <t xml:space="preserve"> </t>
  </si>
  <si>
    <t>ECO Bank</t>
  </si>
  <si>
    <t>Cash in Hand</t>
  </si>
  <si>
    <t xml:space="preserve"> NOTE 2: INVESTMENTS</t>
  </si>
  <si>
    <t>BGL</t>
  </si>
  <si>
    <t>Enugu Diocese</t>
  </si>
  <si>
    <t>Niger Diocese</t>
  </si>
  <si>
    <t>Niger Delta Diocese</t>
  </si>
  <si>
    <t>Aba Diocese</t>
  </si>
  <si>
    <t>Trinity College Umuahia</t>
  </si>
  <si>
    <t>Balance Brought Forward</t>
  </si>
  <si>
    <t>Members Contribution</t>
  </si>
  <si>
    <t>TOTAL</t>
  </si>
  <si>
    <t>Additions</t>
  </si>
  <si>
    <t>NOTES</t>
  </si>
  <si>
    <t>Total Operating Income</t>
  </si>
  <si>
    <t>Other Operating Expenses</t>
  </si>
  <si>
    <t>FUND</t>
  </si>
  <si>
    <t>Non Current Assets</t>
  </si>
  <si>
    <t>Investments</t>
  </si>
  <si>
    <t>Receivables</t>
  </si>
  <si>
    <t>Suspense Account</t>
  </si>
  <si>
    <t>Total Assets</t>
  </si>
  <si>
    <t>Liabilities</t>
  </si>
  <si>
    <t>Net Total Assets</t>
  </si>
  <si>
    <t>Motor Vehicle</t>
  </si>
  <si>
    <t>Furniture/Fittings</t>
  </si>
  <si>
    <t>Equipment - Fund</t>
  </si>
  <si>
    <t>Furniture/Fittings - Fund</t>
  </si>
  <si>
    <t>ARM</t>
  </si>
  <si>
    <t>Trinity College</t>
  </si>
  <si>
    <t>Contingency</t>
  </si>
  <si>
    <t>Hospitality to meetings</t>
  </si>
  <si>
    <t>UK Investment Income</t>
  </si>
  <si>
    <t>Stambic IBTC Investment</t>
  </si>
  <si>
    <t>UK Investment Mgt Fee</t>
  </si>
  <si>
    <t>Staff Salaries/Allowances</t>
  </si>
  <si>
    <t>Nigeria Investments: Stock and Shares</t>
  </si>
  <si>
    <t xml:space="preserve">                                  ARM</t>
  </si>
  <si>
    <t xml:space="preserve">                                  BGL</t>
  </si>
  <si>
    <t>N</t>
  </si>
  <si>
    <t>Finance Cost</t>
  </si>
  <si>
    <t xml:space="preserve">     =        =</t>
  </si>
  <si>
    <r>
      <t>contingenc</t>
    </r>
    <r>
      <rPr>
        <sz val="12"/>
        <color rgb="FFFF0000"/>
        <rFont val="Calibri"/>
        <family val="2"/>
        <scheme val="minor"/>
      </rPr>
      <t>y</t>
    </r>
  </si>
  <si>
    <t>Land and Building- Awka</t>
  </si>
  <si>
    <t>AWKA</t>
  </si>
  <si>
    <t>Loan to Staff</t>
  </si>
  <si>
    <t>Loan to Joint Province</t>
  </si>
  <si>
    <t>Bank and Cash Balances</t>
  </si>
  <si>
    <t>Leave Allowance</t>
  </si>
  <si>
    <t>Training</t>
  </si>
  <si>
    <t>SUPERANNUATION FUND OF THE NIGER ANAGLICAN CHURCHES</t>
  </si>
  <si>
    <t>Christmas Bonus</t>
  </si>
  <si>
    <t>Staff and Exco Comm Trainning</t>
  </si>
  <si>
    <t>Hazard Allowance</t>
  </si>
  <si>
    <t>Printing of Accounts/Sale of Scrab</t>
  </si>
  <si>
    <t>Lands - Fund</t>
  </si>
  <si>
    <t>Opening Balance</t>
  </si>
  <si>
    <t>Printing of Account</t>
  </si>
  <si>
    <t>Disposal</t>
  </si>
  <si>
    <t>Land/Building -  GARC</t>
  </si>
  <si>
    <t>Cash/Bank Bal: FBN I</t>
  </si>
  <si>
    <t>Computer Software Upgrade</t>
  </si>
  <si>
    <t>Loan to Joint Provinces</t>
  </si>
  <si>
    <t>Fin. Secs/Accountants Seminar Fee</t>
  </si>
  <si>
    <t>Fin. Secs/Accountants Seminar Expenses</t>
  </si>
  <si>
    <t>Exco Mgt. Committee Allowances</t>
  </si>
  <si>
    <t>Furniture/Fittings - Aluu Hostel</t>
  </si>
  <si>
    <t>Equipment - Aluu Hostel</t>
  </si>
  <si>
    <t>Building - Secretariat/Staff Quarters</t>
  </si>
  <si>
    <t>Building- Awka</t>
  </si>
  <si>
    <t>Aluu Hostel Expenses</t>
  </si>
  <si>
    <t>Land and Building -Aluu Hostel</t>
  </si>
  <si>
    <t>BUILDING AWKA</t>
  </si>
  <si>
    <t xml:space="preserve">                          FBN II</t>
  </si>
  <si>
    <t xml:space="preserve">                          CCB (in Liquidation)</t>
  </si>
  <si>
    <t xml:space="preserve">                          FBN Dom II </t>
  </si>
  <si>
    <t xml:space="preserve">                          Zenith Bank Dom (Ow)</t>
  </si>
  <si>
    <t xml:space="preserve">                          Zenith Bank Dollar</t>
  </si>
  <si>
    <t xml:space="preserve">                          Zenith Bank (Naira)</t>
  </si>
  <si>
    <t xml:space="preserve">                          Access Bank Savings</t>
  </si>
  <si>
    <t xml:space="preserve">                          ECO Bank</t>
  </si>
  <si>
    <t xml:space="preserve">                          Cash in Hand</t>
  </si>
  <si>
    <t>Car Insurance/Particulars Renewal</t>
  </si>
  <si>
    <t xml:space="preserve">PLANT/EQUIP. FUND             (10%)             </t>
  </si>
  <si>
    <t>MOTOR VEHICLE (25%)</t>
  </si>
  <si>
    <t>FURN/FITTINGS FUND             (10%)</t>
  </si>
  <si>
    <t>ALUU</t>
  </si>
  <si>
    <t>LOAN Refund</t>
  </si>
  <si>
    <t>ALUU Hostel rent</t>
  </si>
  <si>
    <t>Loan from GARC</t>
  </si>
  <si>
    <t>GARC Expenses</t>
  </si>
  <si>
    <t>Take off Grant to Aluu Hostel Mgr</t>
  </si>
  <si>
    <t>Surplus for the Period</t>
  </si>
  <si>
    <t>DETAILS</t>
  </si>
  <si>
    <t>Furniture/Fittings - Awka</t>
  </si>
  <si>
    <t>GAFCON</t>
  </si>
  <si>
    <t>Audit fee</t>
  </si>
  <si>
    <t>Awka Hostel Dedication Expenses</t>
  </si>
  <si>
    <t>Furniture/Fittings - Awka Hostel</t>
  </si>
  <si>
    <t>Loan From GARC</t>
  </si>
  <si>
    <t>$</t>
  </si>
  <si>
    <t>Closing Balance</t>
  </si>
  <si>
    <t xml:space="preserve">LAND/BUILDING ALUU HOSTEL   </t>
  </si>
  <si>
    <t>FURN/FITTINGS AWKA          (10%)</t>
  </si>
  <si>
    <t>Personnel Cost</t>
  </si>
  <si>
    <t>Ogbaru</t>
  </si>
  <si>
    <t>Ihiala</t>
  </si>
  <si>
    <t>Niger West</t>
  </si>
  <si>
    <t>Uyo</t>
  </si>
  <si>
    <t>Okrika</t>
  </si>
  <si>
    <t>Ogoni</t>
  </si>
  <si>
    <t>Etche</t>
  </si>
  <si>
    <t>Northern Izon</t>
  </si>
  <si>
    <t>Orlu</t>
  </si>
  <si>
    <t>Egbu</t>
  </si>
  <si>
    <t>Ideato</t>
  </si>
  <si>
    <t>Umuahia</t>
  </si>
  <si>
    <t xml:space="preserve">Isiala Ngwa </t>
  </si>
  <si>
    <t>Nsukka</t>
  </si>
  <si>
    <t>Ngbo</t>
  </si>
  <si>
    <t>Niger</t>
  </si>
  <si>
    <t>Awka</t>
  </si>
  <si>
    <t>Nnewi</t>
  </si>
  <si>
    <t>Aguata</t>
  </si>
  <si>
    <t>Amichi</t>
  </si>
  <si>
    <t>Niger Delta</t>
  </si>
  <si>
    <t>Calabar</t>
  </si>
  <si>
    <t>Niger Delta North</t>
  </si>
  <si>
    <t>Niger Delta West</t>
  </si>
  <si>
    <t>Ahoada</t>
  </si>
  <si>
    <t>Ogbia</t>
  </si>
  <si>
    <t>Evo</t>
  </si>
  <si>
    <t>Owerri</t>
  </si>
  <si>
    <t>Mbaise</t>
  </si>
  <si>
    <t>Isi Mbano</t>
  </si>
  <si>
    <t>Okigwe South</t>
  </si>
  <si>
    <t>Ohaji/Egbema</t>
  </si>
  <si>
    <t>On The Lake</t>
  </si>
  <si>
    <t>Oru</t>
  </si>
  <si>
    <t>Okigwe</t>
  </si>
  <si>
    <t>Ikeduru</t>
  </si>
  <si>
    <t>Aba</t>
  </si>
  <si>
    <t>Isuikwuato/Umunneochi</t>
  </si>
  <si>
    <t>Arochukwu/Ohafia</t>
  </si>
  <si>
    <t>Ikwuano</t>
  </si>
  <si>
    <t>Isiala Ngwa South</t>
  </si>
  <si>
    <t>Aba Ngwa North</t>
  </si>
  <si>
    <t>Enugu</t>
  </si>
  <si>
    <t>Abakaliki</t>
  </si>
  <si>
    <t>Oji River</t>
  </si>
  <si>
    <t>Awgu/Aninri</t>
  </si>
  <si>
    <t>Enugu North</t>
  </si>
  <si>
    <t>Ikwo</t>
  </si>
  <si>
    <t>Afikpo</t>
  </si>
  <si>
    <t>Nike</t>
  </si>
  <si>
    <t>Udi</t>
  </si>
  <si>
    <t>Eha Amaufu</t>
  </si>
  <si>
    <t>Fund's Staff</t>
  </si>
  <si>
    <t xml:space="preserve"> NOTE 3: DEBTORS</t>
  </si>
  <si>
    <t>NOTE 4: RECEIVABLES</t>
  </si>
  <si>
    <t>NOTE 5: CASH AND BANK BALANCES</t>
  </si>
  <si>
    <t>Recoverable GARC Expenses</t>
  </si>
  <si>
    <t xml:space="preserve"> Fin. Sec's Seminar</t>
  </si>
  <si>
    <t>New Card</t>
  </si>
  <si>
    <t>GARC Expenses/ARM Interest</t>
  </si>
  <si>
    <t/>
  </si>
  <si>
    <t>Depriciation</t>
  </si>
  <si>
    <t>NOTE 7: LIABILITIES</t>
  </si>
  <si>
    <t>Awka Hostel Rent</t>
  </si>
  <si>
    <t>Pension Refund</t>
  </si>
  <si>
    <t>Card Replacement</t>
  </si>
  <si>
    <t>Cost/Valuation</t>
  </si>
  <si>
    <t>Charge For the Year</t>
  </si>
  <si>
    <t>Netbook Value</t>
  </si>
  <si>
    <t>Bad Debt</t>
  </si>
  <si>
    <t>NOTE 8: CONTRIBUTION IN ADVANCE</t>
  </si>
  <si>
    <t>NOTE 8b: SUSPENSE</t>
  </si>
  <si>
    <t xml:space="preserve"> NOTE 9: ACCUMULATED FUND</t>
  </si>
  <si>
    <t>january</t>
  </si>
  <si>
    <t>As at 1/1/2024</t>
  </si>
  <si>
    <t xml:space="preserve">UK  Real Estate Investment </t>
  </si>
  <si>
    <t>Anonymous Payment on 6/4/2023</t>
  </si>
  <si>
    <t xml:space="preserve">Nigerian Investment Income </t>
  </si>
  <si>
    <t>Notes</t>
  </si>
  <si>
    <t>SUPERANNUATION ANGLICAN WORKERS EAST OF THE NIGER WELFARE FOUNDATION</t>
  </si>
  <si>
    <t>Tender</t>
  </si>
  <si>
    <t>transfer from RATHbons</t>
  </si>
  <si>
    <t>Transfer to colobus</t>
  </si>
  <si>
    <t>February</t>
  </si>
  <si>
    <t>March</t>
  </si>
  <si>
    <t xml:space="preserve"> (£)</t>
  </si>
  <si>
    <t>Add Investment Income</t>
  </si>
  <si>
    <t>Less Management Fee</t>
  </si>
  <si>
    <t>Valuation Gain</t>
  </si>
  <si>
    <t>INVESTMENT INCOME</t>
  </si>
  <si>
    <t>Amount  (£)</t>
  </si>
  <si>
    <t>Amount in Naira</t>
  </si>
  <si>
    <t>MANAGEMENT FEE</t>
  </si>
  <si>
    <t>Balance B/F 1/1/2024</t>
  </si>
  <si>
    <t>Transfer From Rathbones</t>
  </si>
  <si>
    <t>Transfer from Zenith Pound (London)</t>
  </si>
  <si>
    <t xml:space="preserve"> NOTE 2c: UK Real Estate Investment</t>
  </si>
  <si>
    <t>Investment Trips</t>
  </si>
  <si>
    <t>UK Investment Revaluation Gain</t>
  </si>
  <si>
    <t>Less Benefits Paid</t>
  </si>
  <si>
    <t>Pensions paid</t>
  </si>
  <si>
    <t>Refund of Contibutions</t>
  </si>
  <si>
    <t>As at 31/03/2024</t>
  </si>
  <si>
    <t>Other Income</t>
  </si>
  <si>
    <t>Aluu Hostel Rent</t>
  </si>
  <si>
    <t xml:space="preserve"> NOTE 10 UK INVESTMENT</t>
  </si>
  <si>
    <t>NOTE 11: INVESTMENT INCOME (INTEREST)</t>
  </si>
  <si>
    <t>April</t>
  </si>
  <si>
    <t>Zenith Investment</t>
  </si>
  <si>
    <t>May</t>
  </si>
  <si>
    <t>Interview for tenders</t>
  </si>
  <si>
    <t>Uni Niger hostel</t>
  </si>
  <si>
    <t>foundation laying</t>
  </si>
  <si>
    <t xml:space="preserve">Land </t>
  </si>
  <si>
    <t>JUNE</t>
  </si>
  <si>
    <t>Trianing unpaid</t>
  </si>
  <si>
    <t>UK Real est</t>
  </si>
  <si>
    <t>Foundation laying</t>
  </si>
  <si>
    <t xml:space="preserve">                                  Globus</t>
  </si>
  <si>
    <t xml:space="preserve">                           Globus</t>
  </si>
  <si>
    <t>Investment Trip</t>
  </si>
  <si>
    <t xml:space="preserve">                                  Zenith Bank</t>
  </si>
  <si>
    <t>Land and Building -Uni Niger Hostel</t>
  </si>
  <si>
    <t>Less: Transfer to Zenith Naira @ N2010</t>
  </si>
  <si>
    <t>Transfer to Zenith Naira @N1235.30</t>
  </si>
  <si>
    <t>Total</t>
  </si>
  <si>
    <t>Fidelity Bank</t>
  </si>
  <si>
    <t xml:space="preserve">FBN Dom I </t>
  </si>
  <si>
    <t xml:space="preserve"> Zenith Bank (London)</t>
  </si>
  <si>
    <t>Zenith Bank (Naira)</t>
  </si>
  <si>
    <t xml:space="preserve"> Access Bank Savings</t>
  </si>
  <si>
    <t>FBNI</t>
  </si>
  <si>
    <t>NOTE 12: DIVIDEND INCOME</t>
  </si>
  <si>
    <t>GTB</t>
  </si>
  <si>
    <t>Access Bank</t>
  </si>
  <si>
    <t>FCMB</t>
  </si>
  <si>
    <t>BUILDING UNI NIGER HOSTEL</t>
  </si>
  <si>
    <t>NOTE 13: OTHER INCOME</t>
  </si>
  <si>
    <t>NOTE 14: OTHER OPERATING EXPENSES</t>
  </si>
  <si>
    <t>NOTE 1: FIXED ASSETS</t>
  </si>
  <si>
    <t xml:space="preserve">                                  Fidelity Bank</t>
  </si>
  <si>
    <t>Purchase of Property</t>
  </si>
  <si>
    <t>Globus Bank</t>
  </si>
  <si>
    <t>Printing of Accounts</t>
  </si>
  <si>
    <t>Aluu Land CofO (Part Payment)</t>
  </si>
  <si>
    <t xml:space="preserve">Computer Software </t>
  </si>
  <si>
    <t>;</t>
  </si>
  <si>
    <t>Newspapers</t>
  </si>
  <si>
    <t>Subscription Card Replacement</t>
  </si>
  <si>
    <t>Tender for University on the Niger Hostel</t>
  </si>
  <si>
    <t>july</t>
  </si>
  <si>
    <t>transfer from globus</t>
  </si>
  <si>
    <t>september</t>
  </si>
  <si>
    <t xml:space="preserve">Land Aluu Hostel </t>
  </si>
  <si>
    <t>History Book</t>
  </si>
  <si>
    <t>loan</t>
  </si>
  <si>
    <t>Zenith Doller Revaluation Gain</t>
  </si>
  <si>
    <t>NOTE 15: PERSONNEL COST</t>
  </si>
  <si>
    <t>Salaries</t>
  </si>
  <si>
    <t>Revaluaton Gain</t>
  </si>
  <si>
    <t>UK Investment Revaluation Gain (Note 10)</t>
  </si>
  <si>
    <t>NOTE 9b: BENEFITS PAYMENT</t>
  </si>
  <si>
    <t>Less-UK Real Estate Investment @N1924.63</t>
  </si>
  <si>
    <t>Transfer to Zenith Owerri (Pound)@N1924.63</t>
  </si>
  <si>
    <t>Less Withdrawal @ 1924.63</t>
  </si>
  <si>
    <t>October</t>
  </si>
  <si>
    <t>August</t>
  </si>
  <si>
    <t>Staff Loan</t>
  </si>
  <si>
    <t>BGL Liquidation</t>
  </si>
  <si>
    <t>Anonymous Payment on 15/7/2024</t>
  </si>
  <si>
    <t>Anonymous Payment on 16/8/2024</t>
  </si>
  <si>
    <t>November</t>
  </si>
  <si>
    <t>Awka Hostel rent</t>
  </si>
  <si>
    <t>Sale of Old Battery</t>
  </si>
  <si>
    <t>December</t>
  </si>
  <si>
    <t>Gifts</t>
  </si>
  <si>
    <t>ECO bank</t>
  </si>
  <si>
    <t>Trial Balance as at 31th Dec 2024</t>
  </si>
  <si>
    <t>Anonymous Payment on 22/11/2024</t>
  </si>
  <si>
    <t>Anonymous Payment on 31/12/2024</t>
  </si>
  <si>
    <t>Investment Trips @1546</t>
  </si>
  <si>
    <t>Closing Balance @1546</t>
  </si>
  <si>
    <r>
      <t xml:space="preserve">UK Real Estate/Investment Trips </t>
    </r>
    <r>
      <rPr>
        <b/>
        <sz val="11"/>
        <color theme="1"/>
        <rFont val="Calibri"/>
        <family val="2"/>
        <scheme val="minor"/>
      </rPr>
      <t>@</t>
    </r>
    <r>
      <rPr>
        <sz val="11"/>
        <color theme="1"/>
        <rFont val="Calibri"/>
        <family val="2"/>
        <scheme val="minor"/>
      </rPr>
      <t>N1939</t>
    </r>
  </si>
  <si>
    <t>Conoil</t>
  </si>
  <si>
    <t>First Bank</t>
  </si>
  <si>
    <t>4th Quarter (@1939)</t>
  </si>
  <si>
    <t>3rd  Quarter(@1939)</t>
  </si>
  <si>
    <t>2nd  Quarter(@1939)</t>
  </si>
  <si>
    <t>Ist  Quarter(@1939)</t>
  </si>
  <si>
    <t>Investment Valuation as at 31/12/2024 @ 1939</t>
  </si>
  <si>
    <t>Osondu Chukwudi on 27/12/2024</t>
  </si>
  <si>
    <t>Ven. John on 31/12/2024</t>
  </si>
  <si>
    <t xml:space="preserve"> NOTE 2d: BGL Investment</t>
  </si>
  <si>
    <t>Zenith Bank Dollar Owerri</t>
  </si>
  <si>
    <t>Zenith Bank Naira</t>
  </si>
  <si>
    <t>Globus</t>
  </si>
  <si>
    <t>Interest @ 1546</t>
  </si>
  <si>
    <r>
      <t>Stambic IBTC Investment   (</t>
    </r>
    <r>
      <rPr>
        <sz val="11"/>
        <color theme="1"/>
        <rFont val="Calibri"/>
        <family val="2"/>
      </rPr>
      <t>$15,428.9</t>
    </r>
    <r>
      <rPr>
        <sz val="11"/>
        <color theme="1"/>
        <rFont val="Calibri"/>
        <family val="2"/>
        <scheme val="minor"/>
      </rPr>
      <t xml:space="preserve"> * N1546)</t>
    </r>
  </si>
  <si>
    <t>Ukwa</t>
  </si>
  <si>
    <t>NOTE 16: Finance Cost</t>
  </si>
  <si>
    <t>Suspense</t>
  </si>
  <si>
    <t>Zenith Bank Pound (Ow)</t>
  </si>
  <si>
    <t>3rd Quarter</t>
  </si>
  <si>
    <t xml:space="preserve">4th Quarter </t>
  </si>
  <si>
    <t>Reg. of SPV(Company) &amp; Virtual office rent</t>
  </si>
  <si>
    <t>UK Real Estate Rent @N1939</t>
  </si>
  <si>
    <t>UK Real Estate Charges</t>
  </si>
  <si>
    <t>UK Real Estate Charges @N1939</t>
  </si>
  <si>
    <t>UK Real Estate Rent</t>
  </si>
  <si>
    <t>NOTE 17: Zenith Bank Pound (London)</t>
  </si>
  <si>
    <t>NOTE 18: Zenith Bank Pound (Ow)</t>
  </si>
  <si>
    <t>NOTE 19: Zenith Bank Dollar Owerri</t>
  </si>
  <si>
    <t>Surplus For the Year</t>
  </si>
  <si>
    <t>UK Investment (Rathbones)</t>
  </si>
  <si>
    <t>Stock (Nigeria)</t>
  </si>
  <si>
    <t xml:space="preserve">Stanbic/IBTC Investment </t>
  </si>
  <si>
    <t>Zenith Bank (Nigeria)</t>
  </si>
  <si>
    <t xml:space="preserve"> NOTE 2b: Stanbic/IBTC Investment </t>
  </si>
  <si>
    <t>Refunded Sum</t>
  </si>
  <si>
    <t>Zenith Bank Dollar (Ow)</t>
  </si>
  <si>
    <t>NOTE 6: Account receivable</t>
  </si>
  <si>
    <t>Bad debt (Written off)</t>
  </si>
  <si>
    <t>Revaluation Gain From Zenith Dollar (Note 19)</t>
  </si>
  <si>
    <t>Sale of Old Batteries</t>
  </si>
  <si>
    <t>Uni Niger Foundation Stone laying</t>
  </si>
  <si>
    <t>Aluu Land CofO Merger of Survey Plans</t>
  </si>
  <si>
    <t>Interview of Bidders</t>
  </si>
  <si>
    <t>Staff and Exco Comm Trainnings</t>
  </si>
  <si>
    <t>History Book Production/delivery</t>
  </si>
  <si>
    <t>CAC Registration of Superannuation</t>
  </si>
  <si>
    <t>Rathbones Management Fee</t>
  </si>
  <si>
    <t>Interest @N1939</t>
  </si>
  <si>
    <t>Bank Charges @N1939</t>
  </si>
  <si>
    <t>Zenith Bank UK</t>
  </si>
  <si>
    <t>UK Zenith Bank Interest</t>
  </si>
  <si>
    <t>Niger East</t>
  </si>
  <si>
    <t>STATEMENT OF INCOME AND EXPENDITURE FOR THE PERIOD ENDED 31ST DECEMBER 2024</t>
  </si>
  <si>
    <t>STATEMENT OF FINANCIAL POSITION AS AT 31ST DECEMBER 2024</t>
  </si>
  <si>
    <t>UK Real Estate rent</t>
  </si>
  <si>
    <t>Uk Zenith Bank Interest</t>
  </si>
  <si>
    <t xml:space="preserve">                          FBN Dom I</t>
  </si>
  <si>
    <t>Isiala Ngwa</t>
  </si>
  <si>
    <t xml:space="preserve">LAND &amp; BUILDING FUND                      </t>
  </si>
  <si>
    <t xml:space="preserve">PLANT/EQUIP. ALUU HOSTEL             (10%)             </t>
  </si>
  <si>
    <t>FURN/FITTINGS ALUU HOSTEL (10%)</t>
  </si>
  <si>
    <t>Account Receivable</t>
  </si>
  <si>
    <t xml:space="preserve"> hj</t>
  </si>
  <si>
    <t xml:space="preserve">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</si>
</sst>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b/>
      <u val="singleAccounting"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 val="singleAccounting"/>
      <sz val="14"/>
      <color theme="1"/>
      <name val="Times New Roman"/>
      <family val="1"/>
    </font>
    <font>
      <b/>
      <u val="singleAccounting"/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"/>
      <color theme="1"/>
      <name val="Times New Roman"/>
      <family val="1"/>
    </font>
    <font>
      <u val="singleAccounting"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theme="1"/>
      <name val="Times New Roman"/>
      <family val="1"/>
    </font>
    <font>
      <u val="singleAccounting"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u val="doubleAccounting"/>
      <sz val="11"/>
      <color theme="1"/>
      <name val="Calibri"/>
      <family val="2"/>
      <scheme val="minor"/>
    </font>
    <font>
      <b/>
      <u val="doubleAccounting"/>
      <sz val="11"/>
      <color theme="1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b/>
      <u val="doubleAccounting"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 val="doubleAccounting"/>
      <sz val="14"/>
      <color theme="1"/>
      <name val="Calibri"/>
      <family val="2"/>
      <scheme val="minor"/>
    </font>
    <font>
      <u val="doubleAccounting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29" fillId="0" borderId="0" applyFont="0" applyFill="0" applyBorder="0" applyAlignment="0" applyProtection="0"/>
  </cellStyleXfs>
  <cellXfs count="124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0" fontId="5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165" fontId="3" fillId="0" borderId="0" xfId="0" applyNumberFormat="1" applyFont="1"/>
    <xf numFmtId="165" fontId="2" fillId="0" borderId="0" xfId="0" applyNumberFormat="1" applyFont="1"/>
    <xf numFmtId="0" fontId="3" fillId="0" borderId="0" xfId="0" applyFont="1" applyAlignment="1">
      <alignment horizontal="center"/>
    </xf>
    <xf numFmtId="4" fontId="2" fillId="0" borderId="0" xfId="0" applyNumberFormat="1" applyFont="1"/>
    <xf numFmtId="0" fontId="0" fillId="0" borderId="0" xfId="0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165" fontId="8" fillId="0" borderId="0" xfId="0" applyNumberFormat="1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165" fontId="11" fillId="0" borderId="0" xfId="0" applyNumberFormat="1" applyFont="1"/>
    <xf numFmtId="165" fontId="13" fillId="0" borderId="0" xfId="0" applyNumberFormat="1" applyFont="1"/>
    <xf numFmtId="0" fontId="0" fillId="0" borderId="1" xfId="0" applyBorder="1"/>
    <xf numFmtId="165" fontId="1" fillId="0" borderId="1" xfId="0" applyNumberFormat="1" applyFont="1" applyBorder="1"/>
    <xf numFmtId="165" fontId="0" fillId="0" borderId="1" xfId="0" applyNumberFormat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4" fontId="15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1" fillId="0" borderId="1" xfId="0" applyFont="1" applyBorder="1"/>
    <xf numFmtId="165" fontId="1" fillId="0" borderId="1" xfId="0" applyNumberFormat="1" applyFont="1" applyBorder="1" applyAlignment="1">
      <alignment horizontal="center" wrapText="1"/>
    </xf>
    <xf numFmtId="0" fontId="24" fillId="0" borderId="0" xfId="0" applyFont="1"/>
    <xf numFmtId="14" fontId="0" fillId="0" borderId="0" xfId="0" applyNumberFormat="1" applyAlignment="1">
      <alignment horizontal="left"/>
    </xf>
    <xf numFmtId="165" fontId="8" fillId="0" borderId="0" xfId="0" quotePrefix="1" applyNumberFormat="1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165" fontId="0" fillId="0" borderId="0" xfId="1" applyFont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5" fontId="2" fillId="0" borderId="0" xfId="1" applyFont="1"/>
    <xf numFmtId="0" fontId="31" fillId="0" borderId="0" xfId="0" applyFont="1"/>
    <xf numFmtId="165" fontId="1" fillId="0" borderId="0" xfId="1" applyFont="1"/>
    <xf numFmtId="165" fontId="2" fillId="0" borderId="0" xfId="0" applyNumberFormat="1" applyFont="1" applyAlignment="1">
      <alignment horizontal="left" vertical="center"/>
    </xf>
    <xf numFmtId="0" fontId="0" fillId="0" borderId="0" xfId="0" applyAlignment="1">
      <alignment vertical="center" wrapText="1"/>
    </xf>
    <xf numFmtId="1" fontId="4" fillId="0" borderId="0" xfId="1" applyNumberFormat="1" applyFont="1" applyAlignment="1">
      <alignment horizontal="center"/>
    </xf>
    <xf numFmtId="1" fontId="4" fillId="0" borderId="0" xfId="1" applyNumberFormat="1" applyFont="1"/>
    <xf numFmtId="164" fontId="4" fillId="0" borderId="0" xfId="1" applyNumberFormat="1" applyFont="1" applyAlignment="1">
      <alignment horizontal="center"/>
    </xf>
    <xf numFmtId="164" fontId="4" fillId="0" borderId="0" xfId="1" applyNumberFormat="1" applyFont="1"/>
    <xf numFmtId="164" fontId="3" fillId="0" borderId="0" xfId="0" applyNumberFormat="1" applyFont="1" applyAlignment="1">
      <alignment horizontal="center"/>
    </xf>
    <xf numFmtId="164" fontId="3" fillId="0" borderId="0" xfId="1" applyNumberFormat="1" applyFont="1"/>
    <xf numFmtId="164" fontId="4" fillId="0" borderId="0" xfId="0" applyNumberFormat="1" applyFont="1"/>
    <xf numFmtId="164" fontId="3" fillId="0" borderId="0" xfId="0" applyNumberFormat="1" applyFont="1"/>
    <xf numFmtId="164" fontId="4" fillId="0" borderId="4" xfId="0" applyNumberFormat="1" applyFont="1" applyBorder="1"/>
    <xf numFmtId="164" fontId="32" fillId="0" borderId="0" xfId="1" applyNumberFormat="1" applyFont="1"/>
    <xf numFmtId="164" fontId="7" fillId="0" borderId="2" xfId="0" applyNumberFormat="1" applyFont="1" applyBorder="1"/>
    <xf numFmtId="164" fontId="0" fillId="0" borderId="0" xfId="0" applyNumberFormat="1"/>
    <xf numFmtId="164" fontId="4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164" fontId="11" fillId="0" borderId="0" xfId="0" applyNumberFormat="1" applyFont="1"/>
    <xf numFmtId="164" fontId="11" fillId="0" borderId="0" xfId="0" applyNumberFormat="1" applyFont="1" applyAlignment="1">
      <alignment horizontal="center"/>
    </xf>
    <xf numFmtId="164" fontId="20" fillId="0" borderId="0" xfId="0" applyNumberFormat="1" applyFont="1"/>
    <xf numFmtId="164" fontId="12" fillId="0" borderId="0" xfId="0" applyNumberFormat="1" applyFont="1"/>
    <xf numFmtId="164" fontId="20" fillId="0" borderId="0" xfId="0" applyNumberFormat="1" applyFont="1" applyAlignment="1">
      <alignment horizontal="center"/>
    </xf>
    <xf numFmtId="164" fontId="8" fillId="0" borderId="0" xfId="0" applyNumberFormat="1" applyFont="1"/>
    <xf numFmtId="0" fontId="2" fillId="0" borderId="0" xfId="0" applyFont="1" applyAlignment="1">
      <alignment horizontal="left"/>
    </xf>
    <xf numFmtId="1" fontId="1" fillId="0" borderId="0" xfId="0" applyNumberFormat="1" applyFont="1"/>
    <xf numFmtId="164" fontId="0" fillId="0" borderId="0" xfId="0" applyNumberFormat="1" applyAlignment="1">
      <alignment horizontal="center"/>
    </xf>
    <xf numFmtId="164" fontId="0" fillId="0" borderId="0" xfId="1" applyNumberFormat="1" applyFont="1"/>
    <xf numFmtId="164" fontId="1" fillId="0" borderId="0" xfId="0" applyNumberFormat="1" applyFont="1"/>
    <xf numFmtId="164" fontId="2" fillId="0" borderId="0" xfId="0" applyNumberFormat="1" applyFont="1"/>
    <xf numFmtId="164" fontId="16" fillId="0" borderId="0" xfId="0" applyNumberFormat="1" applyFont="1"/>
    <xf numFmtId="164" fontId="16" fillId="0" borderId="0" xfId="1" applyNumberFormat="1" applyFont="1"/>
    <xf numFmtId="164" fontId="25" fillId="0" borderId="0" xfId="0" applyNumberFormat="1" applyFont="1"/>
    <xf numFmtId="164" fontId="21" fillId="0" borderId="0" xfId="0" applyNumberFormat="1" applyFont="1" applyAlignment="1">
      <alignment horizontal="center"/>
    </xf>
    <xf numFmtId="164" fontId="26" fillId="0" borderId="0" xfId="0" applyNumberFormat="1" applyFont="1"/>
    <xf numFmtId="164" fontId="17" fillId="0" borderId="0" xfId="0" applyNumberFormat="1" applyFont="1"/>
    <xf numFmtId="164" fontId="22" fillId="0" borderId="0" xfId="0" applyNumberFormat="1" applyFont="1"/>
    <xf numFmtId="164" fontId="6" fillId="0" borderId="0" xfId="0" applyNumberFormat="1" applyFont="1"/>
    <xf numFmtId="164" fontId="0" fillId="0" borderId="2" xfId="0" applyNumberFormat="1" applyBorder="1"/>
    <xf numFmtId="164" fontId="0" fillId="0" borderId="0" xfId="0" quotePrefix="1" applyNumberFormat="1" applyAlignment="1">
      <alignment horizontal="center"/>
    </xf>
    <xf numFmtId="164" fontId="8" fillId="0" borderId="0" xfId="0" applyNumberFormat="1" applyFont="1" applyAlignment="1">
      <alignment horizontal="center"/>
    </xf>
    <xf numFmtId="164" fontId="26" fillId="0" borderId="0" xfId="1" applyNumberFormat="1" applyFont="1"/>
    <xf numFmtId="164" fontId="5" fillId="0" borderId="0" xfId="0" applyNumberFormat="1" applyFont="1"/>
    <xf numFmtId="164" fontId="2" fillId="0" borderId="0" xfId="1" applyNumberFormat="1" applyFont="1"/>
    <xf numFmtId="164" fontId="27" fillId="0" borderId="0" xfId="0" applyNumberFormat="1" applyFont="1"/>
    <xf numFmtId="164" fontId="2" fillId="0" borderId="2" xfId="0" applyNumberFormat="1" applyFont="1" applyBorder="1"/>
    <xf numFmtId="164" fontId="28" fillId="0" borderId="0" xfId="0" applyNumberFormat="1" applyFont="1"/>
    <xf numFmtId="164" fontId="5" fillId="0" borderId="0" xfId="0" applyNumberFormat="1" applyFont="1" applyAlignment="1">
      <alignment horizontal="center"/>
    </xf>
    <xf numFmtId="164" fontId="23" fillId="0" borderId="0" xfId="0" applyNumberFormat="1" applyFont="1"/>
    <xf numFmtId="164" fontId="0" fillId="0" borderId="2" xfId="1" applyNumberFormat="1" applyFont="1" applyBorder="1"/>
    <xf numFmtId="164" fontId="1" fillId="0" borderId="0" xfId="0" applyNumberFormat="1" applyFont="1" applyAlignment="1">
      <alignment horizontal="center"/>
    </xf>
    <xf numFmtId="164" fontId="2" fillId="0" borderId="3" xfId="0" applyNumberFormat="1" applyFont="1" applyBorder="1"/>
    <xf numFmtId="164" fontId="2" fillId="0" borderId="0" xfId="0" applyNumberFormat="1" applyFont="1" applyAlignment="1">
      <alignment horizontal="center"/>
    </xf>
    <xf numFmtId="165" fontId="6" fillId="0" borderId="0" xfId="1" applyFont="1"/>
    <xf numFmtId="165" fontId="27" fillId="0" borderId="0" xfId="1" applyFont="1"/>
    <xf numFmtId="165" fontId="6" fillId="0" borderId="2" xfId="1" applyFont="1" applyBorder="1"/>
    <xf numFmtId="166" fontId="2" fillId="0" borderId="0" xfId="1" applyNumberFormat="1" applyFont="1"/>
    <xf numFmtId="166" fontId="0" fillId="0" borderId="0" xfId="1" applyNumberFormat="1" applyFont="1"/>
    <xf numFmtId="165" fontId="0" fillId="0" borderId="1" xfId="0" applyNumberFormat="1" applyBorder="1"/>
    <xf numFmtId="165" fontId="0" fillId="0" borderId="5" xfId="0" applyNumberFormat="1" applyBorder="1"/>
    <xf numFmtId="166" fontId="1" fillId="0" borderId="0" xfId="1" applyNumberFormat="1" applyFont="1"/>
    <xf numFmtId="166" fontId="0" fillId="0" borderId="0" xfId="1" applyNumberFormat="1" applyFont="1" applyAlignment="1">
      <alignment horizontal="center"/>
    </xf>
    <xf numFmtId="166" fontId="16" fillId="0" borderId="0" xfId="1" applyNumberFormat="1" applyFont="1"/>
    <xf numFmtId="166" fontId="26" fillId="0" borderId="0" xfId="1" applyNumberFormat="1" applyFont="1" applyBorder="1"/>
    <xf numFmtId="166" fontId="26" fillId="0" borderId="0" xfId="1" applyNumberFormat="1" applyFont="1"/>
    <xf numFmtId="166" fontId="0" fillId="0" borderId="0" xfId="1" applyNumberFormat="1" applyFont="1" applyBorder="1"/>
    <xf numFmtId="166" fontId="6" fillId="0" borderId="0" xfId="1" applyNumberFormat="1" applyFont="1"/>
    <xf numFmtId="166" fontId="16" fillId="0" borderId="0" xfId="1" applyNumberFormat="1" applyFont="1" applyBorder="1"/>
    <xf numFmtId="166" fontId="17" fillId="0" borderId="0" xfId="1" applyNumberFormat="1" applyFont="1"/>
    <xf numFmtId="166" fontId="33" fillId="0" borderId="0" xfId="1" applyNumberFormat="1" applyFont="1"/>
    <xf numFmtId="166" fontId="27" fillId="0" borderId="0" xfId="1" applyNumberFormat="1" applyFont="1"/>
    <xf numFmtId="166" fontId="28" fillId="0" borderId="0" xfId="1" applyNumberFormat="1" applyFont="1"/>
    <xf numFmtId="166" fontId="0" fillId="0" borderId="0" xfId="1" applyNumberFormat="1" applyFont="1" applyAlignment="1"/>
    <xf numFmtId="166" fontId="16" fillId="0" borderId="2" xfId="1" applyNumberFormat="1" applyFont="1" applyBorder="1" applyAlignment="1"/>
    <xf numFmtId="166" fontId="2" fillId="0" borderId="0" xfId="1" applyNumberFormat="1" applyFont="1" applyBorder="1"/>
    <xf numFmtId="166" fontId="0" fillId="0" borderId="2" xfId="1" applyNumberFormat="1" applyFont="1" applyBorder="1"/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"/>
  <sheetViews>
    <sheetView topLeftCell="D1" workbookViewId="0">
      <pane ySplit="4" topLeftCell="A5" activePane="bottomLeft" state="frozen"/>
      <selection pane="bottomLeft" activeCell="O1" sqref="O1:O1048576"/>
    </sheetView>
  </sheetViews>
  <sheetFormatPr defaultRowHeight="15.6" x14ac:dyDescent="0.3"/>
  <cols>
    <col min="1" max="1" width="34.33203125" style="4" customWidth="1"/>
    <col min="2" max="10" width="15.33203125" style="1" customWidth="1"/>
    <col min="11" max="11" width="15.33203125" style="39" customWidth="1"/>
    <col min="12" max="13" width="15.33203125" style="1" customWidth="1"/>
    <col min="14" max="14" width="16.88671875" style="1" bestFit="1" customWidth="1"/>
    <col min="15" max="19" width="9.109375" style="1"/>
  </cols>
  <sheetData>
    <row r="1" spans="1:19" s="2" customFormat="1" x14ac:dyDescent="0.3">
      <c r="A1" s="9" t="s">
        <v>0</v>
      </c>
      <c r="B1" s="3"/>
      <c r="C1" s="3"/>
      <c r="D1" s="3"/>
      <c r="E1" s="3"/>
      <c r="F1" s="3"/>
      <c r="G1" s="3"/>
      <c r="H1" s="3"/>
      <c r="I1" s="3"/>
      <c r="J1" s="3"/>
      <c r="K1" s="44"/>
      <c r="L1" s="3"/>
      <c r="M1" s="3"/>
      <c r="N1" s="3"/>
      <c r="O1" s="3"/>
      <c r="P1" s="3"/>
      <c r="Q1" s="3"/>
      <c r="R1" s="3"/>
      <c r="S1" s="3"/>
    </row>
    <row r="2" spans="1:19" s="2" customFormat="1" x14ac:dyDescent="0.3">
      <c r="A2" s="9" t="s">
        <v>1</v>
      </c>
      <c r="B2" s="3"/>
      <c r="C2" s="3"/>
      <c r="D2" s="3"/>
      <c r="E2" s="3"/>
      <c r="F2" s="3"/>
      <c r="G2" s="3"/>
      <c r="H2" s="3"/>
      <c r="I2" s="3"/>
      <c r="J2" s="3"/>
      <c r="K2" s="44"/>
      <c r="L2" s="3"/>
      <c r="M2" s="3"/>
      <c r="N2" s="3"/>
      <c r="O2" s="3"/>
      <c r="P2" s="3"/>
      <c r="Q2" s="3"/>
      <c r="R2" s="3"/>
      <c r="S2" s="3"/>
    </row>
    <row r="3" spans="1:19" s="2" customFormat="1" x14ac:dyDescent="0.3">
      <c r="A3" s="6" t="s">
        <v>28</v>
      </c>
      <c r="B3" s="3"/>
      <c r="C3" s="3"/>
      <c r="D3" s="3"/>
      <c r="E3" s="3"/>
      <c r="F3" s="3"/>
      <c r="G3" s="3"/>
      <c r="H3" s="3"/>
      <c r="I3" s="3"/>
      <c r="J3" s="3"/>
      <c r="K3" s="44"/>
      <c r="L3" s="3"/>
      <c r="M3" s="3"/>
      <c r="N3" s="3"/>
      <c r="O3" s="3"/>
      <c r="P3" s="3"/>
      <c r="Q3" s="3"/>
      <c r="R3" s="3"/>
      <c r="S3" s="3"/>
    </row>
    <row r="4" spans="1:19" s="2" customFormat="1" x14ac:dyDescent="0.3">
      <c r="A4" s="6"/>
      <c r="B4" s="3" t="s">
        <v>228</v>
      </c>
      <c r="C4" s="3" t="s">
        <v>238</v>
      </c>
      <c r="D4" s="3" t="s">
        <v>239</v>
      </c>
      <c r="E4" s="3" t="s">
        <v>262</v>
      </c>
      <c r="F4" s="3" t="s">
        <v>264</v>
      </c>
      <c r="G4" s="3" t="s">
        <v>269</v>
      </c>
      <c r="H4" s="3" t="s">
        <v>305</v>
      </c>
      <c r="I4" s="3" t="s">
        <v>321</v>
      </c>
      <c r="J4" s="3" t="s">
        <v>307</v>
      </c>
      <c r="K4" s="44" t="s">
        <v>320</v>
      </c>
      <c r="L4" s="1" t="s">
        <v>326</v>
      </c>
      <c r="M4" s="1" t="s">
        <v>329</v>
      </c>
      <c r="N4" s="3"/>
      <c r="O4" s="3"/>
      <c r="P4" s="3"/>
      <c r="Q4" s="3"/>
      <c r="R4" s="3"/>
      <c r="S4" s="3"/>
    </row>
    <row r="5" spans="1:19" x14ac:dyDescent="0.3">
      <c r="A5" s="4" t="s">
        <v>2</v>
      </c>
      <c r="B5" s="1">
        <v>641997.55000000005</v>
      </c>
      <c r="C5" s="1">
        <v>101161</v>
      </c>
      <c r="D5" s="1">
        <v>-98979</v>
      </c>
      <c r="E5" s="1">
        <v>90121</v>
      </c>
      <c r="F5" s="1">
        <v>72821</v>
      </c>
      <c r="G5" s="1">
        <v>820821</v>
      </c>
      <c r="H5" s="1">
        <v>716871</v>
      </c>
      <c r="I5" s="1">
        <v>162021</v>
      </c>
      <c r="J5" s="1">
        <v>561721</v>
      </c>
      <c r="K5" s="39">
        <v>567821</v>
      </c>
      <c r="L5" s="1">
        <v>273521</v>
      </c>
      <c r="M5" s="1">
        <v>570221</v>
      </c>
      <c r="N5" s="1">
        <v>641997.55000000005</v>
      </c>
    </row>
    <row r="6" spans="1:19" x14ac:dyDescent="0.3">
      <c r="A6" s="4" t="s">
        <v>3</v>
      </c>
      <c r="B6" s="1">
        <v>126985997.23</v>
      </c>
      <c r="C6" s="1">
        <v>182937998.65000001</v>
      </c>
      <c r="D6" s="1">
        <v>102561612.65000001</v>
      </c>
      <c r="E6" s="1">
        <v>83404792.609999999</v>
      </c>
      <c r="F6" s="1">
        <v>91931664.180000007</v>
      </c>
      <c r="G6" s="1">
        <v>4654336.0599999996</v>
      </c>
      <c r="H6" s="1">
        <v>16632405.23</v>
      </c>
      <c r="I6" s="1">
        <v>42031948.039999999</v>
      </c>
      <c r="J6" s="1">
        <v>57059251.270000003</v>
      </c>
      <c r="K6" s="39">
        <v>81999240.319999993</v>
      </c>
      <c r="L6" s="1">
        <v>101938414.79000001</v>
      </c>
      <c r="M6" s="1">
        <v>47686521.729999997</v>
      </c>
      <c r="N6" s="1">
        <v>126985997.23</v>
      </c>
    </row>
    <row r="7" spans="1:19" x14ac:dyDescent="0.3">
      <c r="A7" s="4" t="s">
        <v>4</v>
      </c>
      <c r="B7" s="1">
        <v>237180.1</v>
      </c>
      <c r="C7" s="1">
        <v>157873.31000000006</v>
      </c>
      <c r="D7" s="1">
        <v>-354340.06</v>
      </c>
      <c r="E7" s="1">
        <v>1991688.31</v>
      </c>
      <c r="F7" s="1">
        <v>1906160.48</v>
      </c>
      <c r="G7" s="1">
        <v>978760.83000000007</v>
      </c>
      <c r="H7" s="1">
        <v>374042.73</v>
      </c>
      <c r="I7" s="1">
        <v>38295.599999999999</v>
      </c>
      <c r="J7" s="1">
        <v>1261762.43</v>
      </c>
      <c r="K7" s="39">
        <v>2079392.5999999996</v>
      </c>
      <c r="L7" s="1">
        <v>1301934.1499999999</v>
      </c>
      <c r="M7" s="1">
        <v>682591.34</v>
      </c>
      <c r="N7" s="1">
        <v>237180.1</v>
      </c>
    </row>
    <row r="8" spans="1:19" x14ac:dyDescent="0.3">
      <c r="A8" s="4" t="s">
        <v>5</v>
      </c>
      <c r="B8" s="1">
        <v>1545213.38</v>
      </c>
      <c r="C8" s="1">
        <v>1545213.38</v>
      </c>
      <c r="D8" s="1">
        <v>1545213.38</v>
      </c>
      <c r="E8" s="1">
        <v>206149743.38</v>
      </c>
      <c r="F8" s="1">
        <v>477229235.11000001</v>
      </c>
      <c r="G8" s="1">
        <v>372267858.43000001</v>
      </c>
      <c r="H8" s="1">
        <v>222182878.55000001</v>
      </c>
      <c r="I8" s="1">
        <v>183994801.75999999</v>
      </c>
      <c r="J8" s="1">
        <v>162514339.24000001</v>
      </c>
      <c r="K8" s="39">
        <v>163634257.24000001</v>
      </c>
      <c r="L8" s="1">
        <v>112065969.18000001</v>
      </c>
      <c r="M8" s="3">
        <v>117342483.09</v>
      </c>
      <c r="N8" s="1">
        <v>1545213.38</v>
      </c>
    </row>
    <row r="9" spans="1:19" x14ac:dyDescent="0.3">
      <c r="A9" s="4" t="s">
        <v>6</v>
      </c>
      <c r="B9" s="1">
        <v>74471573.649999991</v>
      </c>
      <c r="C9" s="1">
        <v>20192346.900000002</v>
      </c>
      <c r="D9" s="1">
        <v>27005081.779999994</v>
      </c>
      <c r="E9" s="1">
        <v>7060196.6500000004</v>
      </c>
      <c r="F9" s="39">
        <v>14710678.860000001</v>
      </c>
      <c r="G9" s="1">
        <v>2139900.1800000719</v>
      </c>
      <c r="H9" s="1">
        <v>22314808.629999999</v>
      </c>
      <c r="I9" s="1">
        <v>67994045.870000005</v>
      </c>
      <c r="J9" s="1">
        <v>32341530.509999998</v>
      </c>
      <c r="K9" s="39">
        <v>15041241.579999998</v>
      </c>
      <c r="L9" s="1">
        <v>23290128.230000004</v>
      </c>
      <c r="M9" s="39">
        <v>117118044.96000001</v>
      </c>
      <c r="N9" s="1">
        <f>SUM(B9:M9)</f>
        <v>423679577.80000007</v>
      </c>
    </row>
    <row r="10" spans="1:19" x14ac:dyDescent="0.3">
      <c r="A10" s="4" t="s">
        <v>7</v>
      </c>
      <c r="B10" s="1">
        <v>486643.15</v>
      </c>
      <c r="C10" s="1">
        <v>7889389.71</v>
      </c>
      <c r="E10" s="1">
        <v>2549933.15</v>
      </c>
      <c r="G10" s="1">
        <v>10236206.83</v>
      </c>
      <c r="H10" s="1">
        <v>6073111.5700000003</v>
      </c>
      <c r="K10" s="39">
        <v>5577732.3600000003</v>
      </c>
      <c r="L10" s="1">
        <v>5311475.41</v>
      </c>
      <c r="M10" s="39">
        <v>15131857.92</v>
      </c>
      <c r="N10" s="1">
        <f t="shared" ref="N10:N24" si="0">SUM(B10:M10)</f>
        <v>53256350.100000001</v>
      </c>
    </row>
    <row r="11" spans="1:19" x14ac:dyDescent="0.3">
      <c r="A11" s="4" t="s">
        <v>26</v>
      </c>
      <c r="E11" s="1">
        <v>50914.98</v>
      </c>
      <c r="F11" s="1">
        <v>559.79999999999995</v>
      </c>
      <c r="G11" s="1">
        <v>352593</v>
      </c>
      <c r="H11" s="1">
        <v>4640</v>
      </c>
      <c r="K11" s="39">
        <v>143318.75</v>
      </c>
      <c r="L11" s="1">
        <v>353969.01</v>
      </c>
      <c r="N11" s="1">
        <f t="shared" si="0"/>
        <v>905995.54</v>
      </c>
    </row>
    <row r="12" spans="1:19" x14ac:dyDescent="0.3">
      <c r="A12" s="4" t="s">
        <v>8</v>
      </c>
      <c r="B12" s="1">
        <v>2476000</v>
      </c>
      <c r="C12" s="1">
        <v>90000</v>
      </c>
      <c r="M12" s="1">
        <v>180000</v>
      </c>
      <c r="N12" s="1">
        <f t="shared" si="0"/>
        <v>2746000</v>
      </c>
    </row>
    <row r="13" spans="1:19" ht="19.5" customHeight="1" x14ac:dyDescent="0.3">
      <c r="A13" s="4" t="s">
        <v>137</v>
      </c>
      <c r="B13" s="1">
        <v>510000</v>
      </c>
      <c r="N13" s="1">
        <f t="shared" si="0"/>
        <v>510000</v>
      </c>
    </row>
    <row r="14" spans="1:19" ht="19.5" customHeight="1" x14ac:dyDescent="0.3">
      <c r="A14" s="4" t="s">
        <v>138</v>
      </c>
      <c r="D14" s="1">
        <v>1604800</v>
      </c>
      <c r="E14" s="1">
        <v>1200000</v>
      </c>
      <c r="H14" s="1">
        <v>2588860</v>
      </c>
      <c r="J14" s="1">
        <v>1120000</v>
      </c>
      <c r="M14" s="39">
        <v>1878640</v>
      </c>
      <c r="N14" s="1">
        <f t="shared" si="0"/>
        <v>8392300</v>
      </c>
    </row>
    <row r="15" spans="1:19" ht="19.5" customHeight="1" x14ac:dyDescent="0.3">
      <c r="A15" s="4" t="s">
        <v>107</v>
      </c>
      <c r="D15" s="1">
        <v>20000</v>
      </c>
      <c r="L15" s="1">
        <v>5000</v>
      </c>
      <c r="N15" s="1">
        <f t="shared" si="0"/>
        <v>25000</v>
      </c>
    </row>
    <row r="16" spans="1:19" ht="19.5" customHeight="1" x14ac:dyDescent="0.3">
      <c r="A16" s="4" t="s">
        <v>213</v>
      </c>
      <c r="B16" s="1">
        <v>6000</v>
      </c>
      <c r="C16" s="1">
        <v>6000</v>
      </c>
      <c r="D16" s="1">
        <v>2000</v>
      </c>
      <c r="G16" s="1">
        <v>2000</v>
      </c>
      <c r="I16" s="1">
        <v>10000</v>
      </c>
      <c r="J16" s="1">
        <v>2000</v>
      </c>
      <c r="L16" s="1">
        <v>2000</v>
      </c>
      <c r="N16" s="1">
        <f t="shared" si="0"/>
        <v>30000</v>
      </c>
    </row>
    <row r="17" spans="1:19" ht="19.5" customHeight="1" x14ac:dyDescent="0.3">
      <c r="A17" s="4" t="s">
        <v>235</v>
      </c>
      <c r="D17" s="1">
        <v>1200000</v>
      </c>
      <c r="E17" s="1">
        <v>300000</v>
      </c>
      <c r="M17" s="1">
        <v>300000</v>
      </c>
      <c r="N17" s="1">
        <f t="shared" si="0"/>
        <v>1800000</v>
      </c>
    </row>
    <row r="18" spans="1:19" ht="19.5" customHeight="1" x14ac:dyDescent="0.3">
      <c r="A18" s="4" t="s">
        <v>270</v>
      </c>
      <c r="G18" s="1">
        <v>30000</v>
      </c>
      <c r="N18" s="1">
        <f t="shared" si="0"/>
        <v>30000</v>
      </c>
    </row>
    <row r="19" spans="1:19" ht="19.5" customHeight="1" x14ac:dyDescent="0.3">
      <c r="A19" s="4" t="s">
        <v>306</v>
      </c>
      <c r="I19" s="1">
        <v>40000000</v>
      </c>
      <c r="M19" s="1">
        <v>110000000</v>
      </c>
      <c r="N19" s="1">
        <f t="shared" si="0"/>
        <v>150000000</v>
      </c>
    </row>
    <row r="20" spans="1:19" ht="19.5" customHeight="1" x14ac:dyDescent="0.3">
      <c r="A20" s="4" t="s">
        <v>323</v>
      </c>
      <c r="K20" s="39">
        <v>1664993.44</v>
      </c>
      <c r="M20" s="39">
        <v>808711.1</v>
      </c>
      <c r="N20" s="1">
        <f t="shared" si="0"/>
        <v>2473704.54</v>
      </c>
    </row>
    <row r="21" spans="1:19" ht="19.5" customHeight="1" x14ac:dyDescent="0.3">
      <c r="A21" s="4" t="s">
        <v>322</v>
      </c>
      <c r="K21" s="39">
        <v>150000</v>
      </c>
      <c r="L21" s="1">
        <v>150000</v>
      </c>
      <c r="M21" s="1">
        <v>150000</v>
      </c>
      <c r="N21" s="1">
        <f t="shared" si="0"/>
        <v>450000</v>
      </c>
    </row>
    <row r="22" spans="1:19" ht="19.5" customHeight="1" x14ac:dyDescent="0.3">
      <c r="A22" s="4" t="s">
        <v>328</v>
      </c>
      <c r="L22" s="1">
        <v>240000</v>
      </c>
      <c r="N22" s="1">
        <f t="shared" si="0"/>
        <v>240000</v>
      </c>
    </row>
    <row r="23" spans="1:19" ht="19.5" customHeight="1" x14ac:dyDescent="0.3">
      <c r="A23" s="4" t="s">
        <v>327</v>
      </c>
      <c r="L23" s="1">
        <v>4976700</v>
      </c>
      <c r="N23" s="1">
        <f t="shared" si="0"/>
        <v>4976700</v>
      </c>
    </row>
    <row r="24" spans="1:19" ht="19.5" customHeight="1" x14ac:dyDescent="0.3">
      <c r="A24" s="4" t="s">
        <v>236</v>
      </c>
      <c r="D24" s="1">
        <v>203000000</v>
      </c>
      <c r="E24" s="1">
        <v>370590000</v>
      </c>
      <c r="L24" s="3"/>
      <c r="M24" s="3"/>
      <c r="N24" s="1">
        <f t="shared" si="0"/>
        <v>573590000</v>
      </c>
    </row>
    <row r="25" spans="1:19" s="2" customFormat="1" x14ac:dyDescent="0.3">
      <c r="A25" s="4"/>
      <c r="B25" s="3">
        <f t="shared" ref="B25:M25" si="1">SUM(B5:B24)</f>
        <v>207360605.05999997</v>
      </c>
      <c r="C25" s="3">
        <f t="shared" si="1"/>
        <v>212919982.95000002</v>
      </c>
      <c r="D25" s="3">
        <f t="shared" si="1"/>
        <v>336485388.75</v>
      </c>
      <c r="E25" s="3">
        <f t="shared" si="1"/>
        <v>673387390.07999992</v>
      </c>
      <c r="F25" s="3">
        <f t="shared" si="1"/>
        <v>585851119.42999995</v>
      </c>
      <c r="G25" s="3">
        <f t="shared" si="1"/>
        <v>391482476.33000004</v>
      </c>
      <c r="H25" s="3">
        <f t="shared" si="1"/>
        <v>270887617.71000004</v>
      </c>
      <c r="I25" s="3">
        <f t="shared" si="1"/>
        <v>334231112.26999998</v>
      </c>
      <c r="J25" s="3">
        <f t="shared" si="1"/>
        <v>254860604.44999999</v>
      </c>
      <c r="K25" s="3">
        <f t="shared" si="1"/>
        <v>270857997.29000002</v>
      </c>
      <c r="L25" s="3">
        <f t="shared" si="1"/>
        <v>249909111.77000001</v>
      </c>
      <c r="M25" s="3">
        <f t="shared" si="1"/>
        <v>411849071.14000005</v>
      </c>
      <c r="N25" s="3">
        <f>SUM(N5:N24)</f>
        <v>1352516016.24</v>
      </c>
      <c r="O25" s="3"/>
      <c r="P25" s="3"/>
      <c r="Q25" s="3"/>
      <c r="R25" s="3"/>
      <c r="S25" s="3"/>
    </row>
    <row r="26" spans="1:19" s="2" customFormat="1" x14ac:dyDescent="0.3">
      <c r="A26" s="6"/>
      <c r="B26" s="3">
        <f>B78</f>
        <v>207360605.06</v>
      </c>
      <c r="C26" s="3">
        <v>212919982.94999999</v>
      </c>
      <c r="D26" s="3">
        <v>336485388.75</v>
      </c>
      <c r="E26" s="3">
        <v>673387390.08000004</v>
      </c>
      <c r="F26" s="3">
        <f>F78</f>
        <v>585851119.43000007</v>
      </c>
      <c r="G26" s="3">
        <v>391482476.33000004</v>
      </c>
      <c r="H26" s="3">
        <v>270887617.70999998</v>
      </c>
      <c r="I26" s="3">
        <v>334231112.27000004</v>
      </c>
      <c r="J26" s="3">
        <v>254860604.44999999</v>
      </c>
      <c r="K26" s="44">
        <v>270857997.29000002</v>
      </c>
      <c r="L26" s="1">
        <v>249909111.77000001</v>
      </c>
      <c r="M26" s="1">
        <f>M78</f>
        <v>411849071.13999999</v>
      </c>
      <c r="N26" s="1">
        <f>N78</f>
        <v>1352516016.2400002</v>
      </c>
      <c r="O26" s="3"/>
      <c r="P26" s="3"/>
      <c r="Q26" s="3"/>
      <c r="R26" s="3"/>
      <c r="S26" s="3"/>
    </row>
    <row r="27" spans="1:19" x14ac:dyDescent="0.3">
      <c r="B27" s="1">
        <f>B25-B26</f>
        <v>0</v>
      </c>
      <c r="C27" s="1">
        <f t="shared" ref="C27:N27" si="2">C25-C26</f>
        <v>0</v>
      </c>
      <c r="D27" s="1">
        <f t="shared" si="2"/>
        <v>0</v>
      </c>
      <c r="E27" s="1">
        <f t="shared" si="2"/>
        <v>0</v>
      </c>
      <c r="F27" s="1">
        <f t="shared" si="2"/>
        <v>0</v>
      </c>
      <c r="G27" s="1">
        <f t="shared" si="2"/>
        <v>0</v>
      </c>
      <c r="H27" s="1">
        <f t="shared" si="2"/>
        <v>0</v>
      </c>
      <c r="I27" s="1">
        <f t="shared" si="2"/>
        <v>0</v>
      </c>
      <c r="J27" s="1">
        <f t="shared" si="2"/>
        <v>0</v>
      </c>
      <c r="K27" s="39">
        <f>K25-K26</f>
        <v>0</v>
      </c>
      <c r="L27" s="39">
        <f>L25-L26</f>
        <v>0</v>
      </c>
      <c r="M27" s="39">
        <f>M25-M26</f>
        <v>0</v>
      </c>
      <c r="N27" s="1">
        <f t="shared" si="2"/>
        <v>0</v>
      </c>
    </row>
    <row r="28" spans="1:19" x14ac:dyDescent="0.3">
      <c r="H28" s="1">
        <f>H25-H26</f>
        <v>0</v>
      </c>
      <c r="N28" s="1">
        <f t="shared" ref="N28:N30" si="3">SUM(B28:J28)</f>
        <v>0</v>
      </c>
    </row>
    <row r="29" spans="1:19" x14ac:dyDescent="0.3">
      <c r="L29" s="3"/>
      <c r="M29" s="3"/>
      <c r="N29" s="1">
        <f t="shared" si="3"/>
        <v>0</v>
      </c>
    </row>
    <row r="30" spans="1:19" s="2" customFormat="1" x14ac:dyDescent="0.3">
      <c r="A30" s="6" t="s">
        <v>9</v>
      </c>
      <c r="B30" s="3"/>
      <c r="C30" s="3"/>
      <c r="D30" s="3"/>
      <c r="E30" s="3"/>
      <c r="F30" s="3"/>
      <c r="G30" s="3"/>
      <c r="H30" s="3"/>
      <c r="I30" s="3"/>
      <c r="J30" s="3"/>
      <c r="K30" s="44"/>
      <c r="L30" s="1"/>
      <c r="M30" s="1"/>
      <c r="N30" s="1">
        <f t="shared" si="3"/>
        <v>0</v>
      </c>
      <c r="O30" s="3"/>
      <c r="P30" s="3"/>
      <c r="Q30" s="3"/>
      <c r="R30" s="3"/>
      <c r="S30" s="3"/>
    </row>
    <row r="31" spans="1:19" x14ac:dyDescent="0.3">
      <c r="A31" s="4" t="s">
        <v>27</v>
      </c>
      <c r="C31" s="1">
        <v>2000000</v>
      </c>
      <c r="N31" s="1">
        <f t="shared" ref="N31:N73" si="4">SUM(B31:M31)</f>
        <v>2000000</v>
      </c>
    </row>
    <row r="32" spans="1:19" x14ac:dyDescent="0.3">
      <c r="A32" s="4" t="s">
        <v>92</v>
      </c>
      <c r="C32" s="1">
        <v>15000</v>
      </c>
      <c r="E32" s="1">
        <v>35000</v>
      </c>
      <c r="F32" s="1">
        <v>20000</v>
      </c>
      <c r="H32" s="1">
        <v>38000</v>
      </c>
      <c r="L32" s="1">
        <v>32500</v>
      </c>
      <c r="N32" s="1">
        <f t="shared" si="4"/>
        <v>140500</v>
      </c>
    </row>
    <row r="33" spans="1:14" x14ac:dyDescent="0.3">
      <c r="A33" s="4" t="s">
        <v>12</v>
      </c>
      <c r="B33" s="1">
        <v>183900</v>
      </c>
      <c r="C33" s="1">
        <v>785500</v>
      </c>
      <c r="D33" s="1">
        <v>412700</v>
      </c>
      <c r="E33" s="1">
        <v>148400</v>
      </c>
      <c r="F33" s="1">
        <v>277900</v>
      </c>
      <c r="G33" s="1">
        <v>125000</v>
      </c>
      <c r="H33" s="1">
        <v>305100</v>
      </c>
      <c r="I33" s="1">
        <v>145100</v>
      </c>
      <c r="J33" s="1">
        <v>219500</v>
      </c>
      <c r="K33" s="39">
        <v>292600</v>
      </c>
      <c r="L33" s="1">
        <v>119200</v>
      </c>
      <c r="M33" s="1">
        <v>427200</v>
      </c>
      <c r="N33" s="1">
        <f t="shared" si="4"/>
        <v>3442100</v>
      </c>
    </row>
    <row r="34" spans="1:14" x14ac:dyDescent="0.3">
      <c r="A34" s="4" t="s">
        <v>132</v>
      </c>
      <c r="H34" s="1">
        <v>25700</v>
      </c>
      <c r="N34" s="1">
        <f t="shared" si="4"/>
        <v>25700</v>
      </c>
    </row>
    <row r="35" spans="1:14" x14ac:dyDescent="0.3">
      <c r="A35" s="4" t="s">
        <v>24</v>
      </c>
      <c r="C35" s="1">
        <v>7897727.2599999998</v>
      </c>
      <c r="F35" s="1">
        <v>6915203.6299999999</v>
      </c>
      <c r="I35" s="1">
        <v>10127726.51</v>
      </c>
      <c r="L35" s="1">
        <v>4206201.9000000004</v>
      </c>
      <c r="N35" s="1">
        <f t="shared" si="4"/>
        <v>29146859.299999997</v>
      </c>
    </row>
    <row r="36" spans="1:14" x14ac:dyDescent="0.3">
      <c r="A36" s="4" t="s">
        <v>20</v>
      </c>
      <c r="B36" s="1">
        <v>565000</v>
      </c>
      <c r="C36" s="1">
        <v>200000</v>
      </c>
      <c r="D36" s="1">
        <v>950000</v>
      </c>
      <c r="E36" s="1">
        <v>710000</v>
      </c>
      <c r="H36" s="1">
        <v>430000</v>
      </c>
      <c r="I36" s="1">
        <v>960000</v>
      </c>
      <c r="M36" s="1">
        <v>4720000</v>
      </c>
      <c r="N36" s="1">
        <f t="shared" si="4"/>
        <v>8535000</v>
      </c>
    </row>
    <row r="37" spans="1:14" x14ac:dyDescent="0.3">
      <c r="A37" s="4" t="s">
        <v>25</v>
      </c>
      <c r="F37" s="1">
        <v>310000</v>
      </c>
      <c r="K37" s="39">
        <v>1256000</v>
      </c>
      <c r="L37" s="1">
        <v>155000</v>
      </c>
      <c r="N37" s="1">
        <f t="shared" si="4"/>
        <v>1721000</v>
      </c>
    </row>
    <row r="38" spans="1:14" x14ac:dyDescent="0.3">
      <c r="A38" s="4" t="s">
        <v>75</v>
      </c>
      <c r="N38" s="1">
        <f t="shared" si="4"/>
        <v>0</v>
      </c>
    </row>
    <row r="39" spans="1:14" x14ac:dyDescent="0.3">
      <c r="A39" s="4" t="s">
        <v>144</v>
      </c>
      <c r="N39" s="1">
        <f t="shared" si="4"/>
        <v>0</v>
      </c>
    </row>
    <row r="40" spans="1:14" x14ac:dyDescent="0.3">
      <c r="A40" s="4" t="s">
        <v>116</v>
      </c>
      <c r="C40" s="1">
        <v>17386100</v>
      </c>
      <c r="D40" s="1">
        <v>1000000</v>
      </c>
      <c r="N40" s="1">
        <f t="shared" si="4"/>
        <v>18386100</v>
      </c>
    </row>
    <row r="41" spans="1:14" x14ac:dyDescent="0.3">
      <c r="A41" s="4" t="s">
        <v>17</v>
      </c>
      <c r="B41" s="1">
        <v>7800</v>
      </c>
      <c r="C41" s="1">
        <v>3750</v>
      </c>
      <c r="D41" s="1">
        <v>11600</v>
      </c>
      <c r="E41" s="1">
        <v>3700</v>
      </c>
      <c r="F41" s="1">
        <v>15400</v>
      </c>
      <c r="G41" s="1">
        <v>15700</v>
      </c>
      <c r="H41" s="1">
        <v>13450</v>
      </c>
      <c r="I41" s="1">
        <v>9600</v>
      </c>
      <c r="J41" s="1">
        <v>1000</v>
      </c>
      <c r="K41" s="39">
        <v>58200</v>
      </c>
      <c r="L41" s="1">
        <v>26300</v>
      </c>
      <c r="M41" s="1">
        <v>23750</v>
      </c>
      <c r="N41" s="1">
        <f>SUM(B41:M41)</f>
        <v>190250</v>
      </c>
    </row>
    <row r="42" spans="1:14" x14ac:dyDescent="0.3">
      <c r="A42" s="4" t="s">
        <v>214</v>
      </c>
      <c r="N42" s="1">
        <f t="shared" si="4"/>
        <v>0</v>
      </c>
    </row>
    <row r="43" spans="1:14" x14ac:dyDescent="0.3">
      <c r="A43" s="4" t="s">
        <v>14</v>
      </c>
      <c r="C43" s="1">
        <v>140000</v>
      </c>
      <c r="D43" s="1">
        <v>60600</v>
      </c>
      <c r="E43" s="1">
        <v>52100</v>
      </c>
      <c r="F43" s="1">
        <v>77000</v>
      </c>
      <c r="H43" s="1">
        <v>99000</v>
      </c>
      <c r="I43" s="1">
        <v>80800</v>
      </c>
      <c r="L43" s="1">
        <v>6500</v>
      </c>
      <c r="M43" s="1">
        <v>141200</v>
      </c>
      <c r="N43" s="1">
        <f t="shared" si="4"/>
        <v>657200</v>
      </c>
    </row>
    <row r="44" spans="1:14" x14ac:dyDescent="0.3">
      <c r="A44" s="4" t="s">
        <v>22</v>
      </c>
      <c r="N44" s="1">
        <f t="shared" si="4"/>
        <v>0</v>
      </c>
    </row>
    <row r="45" spans="1:14" x14ac:dyDescent="0.3">
      <c r="A45" s="4" t="s">
        <v>267</v>
      </c>
      <c r="F45" s="1">
        <v>480000</v>
      </c>
      <c r="G45" s="1">
        <v>100000</v>
      </c>
      <c r="N45" s="1">
        <f t="shared" si="4"/>
        <v>580000</v>
      </c>
    </row>
    <row r="46" spans="1:14" x14ac:dyDescent="0.3">
      <c r="A46" s="4" t="s">
        <v>268</v>
      </c>
      <c r="F46" s="1">
        <v>450000</v>
      </c>
      <c r="N46" s="1">
        <f t="shared" si="4"/>
        <v>450000</v>
      </c>
    </row>
    <row r="47" spans="1:14" x14ac:dyDescent="0.3">
      <c r="A47" s="4" t="s">
        <v>308</v>
      </c>
      <c r="J47" s="1">
        <v>1000000</v>
      </c>
      <c r="N47" s="1">
        <f t="shared" si="4"/>
        <v>1000000</v>
      </c>
    </row>
    <row r="48" spans="1:14" x14ac:dyDescent="0.3">
      <c r="A48" s="4" t="s">
        <v>93</v>
      </c>
      <c r="N48" s="1">
        <f t="shared" si="4"/>
        <v>0</v>
      </c>
    </row>
    <row r="49" spans="1:14" x14ac:dyDescent="0.3">
      <c r="A49" s="4" t="s">
        <v>120</v>
      </c>
      <c r="G49" s="1">
        <v>180000</v>
      </c>
      <c r="I49" s="1">
        <v>200000</v>
      </c>
      <c r="L49" s="1">
        <v>290000</v>
      </c>
      <c r="N49" s="1">
        <f t="shared" si="4"/>
        <v>670000</v>
      </c>
    </row>
    <row r="50" spans="1:14" x14ac:dyDescent="0.3">
      <c r="A50" s="4" t="s">
        <v>13</v>
      </c>
      <c r="B50" s="1">
        <v>68000</v>
      </c>
      <c r="C50" s="1">
        <v>12000</v>
      </c>
      <c r="D50" s="1">
        <v>15000</v>
      </c>
      <c r="F50" s="1">
        <v>77700</v>
      </c>
      <c r="G50" s="1">
        <v>16000</v>
      </c>
      <c r="H50" s="1">
        <v>15000</v>
      </c>
      <c r="I50" s="1">
        <v>9000</v>
      </c>
      <c r="J50" s="1">
        <v>32000</v>
      </c>
      <c r="K50" s="39">
        <v>42000</v>
      </c>
      <c r="L50" s="1">
        <v>15000</v>
      </c>
      <c r="M50" s="1">
        <v>161000</v>
      </c>
      <c r="N50" s="1">
        <f t="shared" si="4"/>
        <v>462700</v>
      </c>
    </row>
    <row r="51" spans="1:14" x14ac:dyDescent="0.3">
      <c r="A51" s="4" t="s">
        <v>98</v>
      </c>
      <c r="J51" s="1">
        <v>105188</v>
      </c>
      <c r="K51" s="39">
        <v>78864</v>
      </c>
      <c r="L51" s="1">
        <v>123864.04000000004</v>
      </c>
      <c r="M51" s="1">
        <v>110390</v>
      </c>
      <c r="N51" s="1">
        <f t="shared" si="4"/>
        <v>418306.04000000004</v>
      </c>
    </row>
    <row r="52" spans="1:14" x14ac:dyDescent="0.3">
      <c r="A52" s="4" t="s">
        <v>22</v>
      </c>
      <c r="B52" s="1">
        <v>3000</v>
      </c>
      <c r="D52" s="1">
        <v>3500</v>
      </c>
      <c r="L52" s="1">
        <v>4500</v>
      </c>
      <c r="M52" s="1">
        <v>3500</v>
      </c>
      <c r="N52" s="1">
        <f t="shared" si="4"/>
        <v>14500</v>
      </c>
    </row>
    <row r="53" spans="1:14" x14ac:dyDescent="0.3">
      <c r="A53" s="4" t="s">
        <v>11</v>
      </c>
      <c r="B53" s="1">
        <v>25350</v>
      </c>
      <c r="C53" s="1">
        <v>24290</v>
      </c>
      <c r="D53" s="1">
        <v>28100</v>
      </c>
      <c r="E53" s="1">
        <v>20600</v>
      </c>
      <c r="F53" s="1">
        <v>10400</v>
      </c>
      <c r="H53" s="1">
        <v>13000</v>
      </c>
      <c r="I53" s="1">
        <v>21800</v>
      </c>
      <c r="J53" s="1">
        <v>6100</v>
      </c>
      <c r="K53" s="39">
        <v>32200</v>
      </c>
      <c r="L53" s="1">
        <v>11600</v>
      </c>
      <c r="M53" s="1">
        <v>19700</v>
      </c>
      <c r="N53" s="1">
        <f t="shared" si="4"/>
        <v>213140</v>
      </c>
    </row>
    <row r="54" spans="1:14" x14ac:dyDescent="0.3">
      <c r="A54" s="4" t="s">
        <v>23</v>
      </c>
      <c r="C54" s="1">
        <v>79703032.459999993</v>
      </c>
      <c r="F54" s="1">
        <v>76359084.040000007</v>
      </c>
      <c r="I54" s="1">
        <v>79684931.540000007</v>
      </c>
      <c r="L54" s="1">
        <v>76292245.150000006</v>
      </c>
      <c r="N54" s="1">
        <f t="shared" si="4"/>
        <v>312039293.19000006</v>
      </c>
    </row>
    <row r="55" spans="1:14" x14ac:dyDescent="0.3">
      <c r="A55" s="4" t="s">
        <v>10</v>
      </c>
      <c r="B55" s="1">
        <v>6000</v>
      </c>
      <c r="C55" s="1">
        <v>18000</v>
      </c>
      <c r="D55" s="1">
        <v>64300</v>
      </c>
      <c r="E55" s="1">
        <v>3500</v>
      </c>
      <c r="F55" s="1">
        <v>7000</v>
      </c>
      <c r="G55" s="1">
        <v>7000</v>
      </c>
      <c r="H55" s="1">
        <v>3500</v>
      </c>
      <c r="I55" s="1">
        <v>7000</v>
      </c>
      <c r="J55" s="1">
        <v>3500</v>
      </c>
      <c r="K55" s="39">
        <v>7000</v>
      </c>
      <c r="L55" s="1">
        <v>3500</v>
      </c>
      <c r="M55" s="1">
        <v>5500</v>
      </c>
      <c r="N55" s="1">
        <f t="shared" si="4"/>
        <v>135800</v>
      </c>
    </row>
    <row r="56" spans="1:14" x14ac:dyDescent="0.3">
      <c r="A56" s="4" t="s">
        <v>15</v>
      </c>
      <c r="B56" s="1">
        <v>110500</v>
      </c>
      <c r="C56" s="1">
        <v>86500</v>
      </c>
      <c r="E56" s="1">
        <v>17000</v>
      </c>
      <c r="F56" s="1">
        <v>100500</v>
      </c>
      <c r="G56" s="1">
        <v>31000</v>
      </c>
      <c r="H56" s="1">
        <v>6000</v>
      </c>
      <c r="K56" s="39">
        <v>12500</v>
      </c>
      <c r="L56" s="1">
        <v>61500</v>
      </c>
      <c r="N56" s="1">
        <f t="shared" si="4"/>
        <v>425500</v>
      </c>
    </row>
    <row r="57" spans="1:14" x14ac:dyDescent="0.3">
      <c r="A57" s="4" t="s">
        <v>18</v>
      </c>
      <c r="B57" s="1">
        <v>779462.11</v>
      </c>
      <c r="C57" s="1">
        <v>779462.11</v>
      </c>
      <c r="D57" s="1">
        <v>779462.11</v>
      </c>
      <c r="E57" s="1">
        <v>779462.11</v>
      </c>
      <c r="F57" s="1">
        <v>779462.11</v>
      </c>
      <c r="G57" s="1">
        <v>779462.11</v>
      </c>
      <c r="H57" s="1">
        <v>779462.11</v>
      </c>
      <c r="I57" s="1">
        <v>779462.11</v>
      </c>
      <c r="J57" s="1">
        <v>779462.11</v>
      </c>
      <c r="K57" s="39">
        <v>779462.11</v>
      </c>
      <c r="L57" s="1">
        <v>779462.11</v>
      </c>
      <c r="M57" s="1">
        <v>779462.15</v>
      </c>
      <c r="N57" s="1">
        <f t="shared" si="4"/>
        <v>9353545.3600000013</v>
      </c>
    </row>
    <row r="58" spans="1:14" x14ac:dyDescent="0.3">
      <c r="A58" s="4" t="s">
        <v>21</v>
      </c>
      <c r="B58" s="1">
        <v>2233600</v>
      </c>
      <c r="D58" s="1">
        <v>150000</v>
      </c>
      <c r="I58" s="1">
        <v>630000</v>
      </c>
      <c r="M58" s="1">
        <v>3000</v>
      </c>
      <c r="N58" s="1">
        <f t="shared" si="4"/>
        <v>3016600</v>
      </c>
    </row>
    <row r="59" spans="1:14" x14ac:dyDescent="0.3">
      <c r="A59" s="4" t="s">
        <v>44</v>
      </c>
      <c r="B59" s="1">
        <v>64000</v>
      </c>
      <c r="C59" s="1">
        <v>44100</v>
      </c>
      <c r="D59" s="1">
        <v>3100</v>
      </c>
      <c r="E59" s="1">
        <v>101000</v>
      </c>
      <c r="F59" s="1">
        <v>117100</v>
      </c>
      <c r="G59" s="1">
        <v>23250</v>
      </c>
      <c r="H59" s="1">
        <v>5000</v>
      </c>
      <c r="I59" s="1">
        <v>12000</v>
      </c>
      <c r="J59" s="1">
        <v>56800</v>
      </c>
      <c r="K59" s="39">
        <v>32800</v>
      </c>
      <c r="L59" s="1">
        <v>28700</v>
      </c>
      <c r="M59" s="1">
        <v>178100</v>
      </c>
      <c r="N59" s="1">
        <f t="shared" si="4"/>
        <v>665950</v>
      </c>
    </row>
    <row r="60" spans="1:14" x14ac:dyDescent="0.3">
      <c r="A60" s="4" t="s">
        <v>99</v>
      </c>
      <c r="C60" s="1">
        <v>40000</v>
      </c>
      <c r="D60" s="1">
        <v>90000</v>
      </c>
      <c r="E60" s="1">
        <v>300000</v>
      </c>
      <c r="F60" s="1">
        <v>5155000</v>
      </c>
      <c r="H60" s="1">
        <v>1656100</v>
      </c>
      <c r="K60" s="39">
        <v>1105000</v>
      </c>
      <c r="N60" s="1">
        <f t="shared" si="4"/>
        <v>8346100</v>
      </c>
    </row>
    <row r="61" spans="1:14" x14ac:dyDescent="0.3">
      <c r="A61" s="4" t="s">
        <v>16</v>
      </c>
      <c r="B61" s="1">
        <v>10000</v>
      </c>
      <c r="C61" s="1">
        <v>10000</v>
      </c>
      <c r="D61" s="1">
        <v>10000</v>
      </c>
      <c r="E61" s="1">
        <v>10000</v>
      </c>
      <c r="F61" s="1">
        <v>10000</v>
      </c>
      <c r="G61" s="1">
        <v>10000</v>
      </c>
      <c r="H61" s="1">
        <v>10000</v>
      </c>
      <c r="I61" s="1">
        <v>10000</v>
      </c>
      <c r="J61" s="1">
        <v>10000</v>
      </c>
      <c r="K61" s="39">
        <v>12000</v>
      </c>
      <c r="L61" s="1">
        <v>10000</v>
      </c>
      <c r="M61" s="1">
        <v>10000</v>
      </c>
      <c r="N61" s="1">
        <f t="shared" si="4"/>
        <v>122000</v>
      </c>
    </row>
    <row r="62" spans="1:14" x14ac:dyDescent="0.3">
      <c r="A62" s="4" t="s">
        <v>309</v>
      </c>
      <c r="J62" s="1">
        <v>2350000</v>
      </c>
      <c r="L62" s="1">
        <v>324000</v>
      </c>
      <c r="N62" s="1">
        <f t="shared" si="4"/>
        <v>2674000</v>
      </c>
    </row>
    <row r="63" spans="1:14" x14ac:dyDescent="0.3">
      <c r="A63" s="4" t="s">
        <v>237</v>
      </c>
      <c r="D63" s="1">
        <v>40000000</v>
      </c>
      <c r="E63" s="1">
        <v>11000</v>
      </c>
      <c r="G63" s="1">
        <v>150000000</v>
      </c>
      <c r="N63" s="1">
        <f t="shared" si="4"/>
        <v>190011000</v>
      </c>
    </row>
    <row r="64" spans="1:14" x14ac:dyDescent="0.3">
      <c r="A64" s="4" t="s">
        <v>275</v>
      </c>
      <c r="I64" s="1">
        <v>12240000</v>
      </c>
      <c r="N64" s="1">
        <f t="shared" si="4"/>
        <v>12240000</v>
      </c>
    </row>
    <row r="65" spans="1:19" x14ac:dyDescent="0.3">
      <c r="A65" s="4" t="s">
        <v>271</v>
      </c>
      <c r="B65" s="1">
        <v>18428000</v>
      </c>
      <c r="D65" s="1">
        <v>1215740</v>
      </c>
      <c r="E65" s="1">
        <v>50000</v>
      </c>
      <c r="F65" s="1">
        <v>9880000</v>
      </c>
      <c r="G65" s="1">
        <v>200000</v>
      </c>
      <c r="H65" s="1">
        <v>480000</v>
      </c>
      <c r="I65" s="1">
        <v>7850000</v>
      </c>
      <c r="N65" s="1">
        <f>SUM(B65:M65)</f>
        <v>38103740</v>
      </c>
    </row>
    <row r="66" spans="1:19" x14ac:dyDescent="0.3">
      <c r="A66" s="4" t="s">
        <v>265</v>
      </c>
      <c r="F66" s="1">
        <v>1020000</v>
      </c>
      <c r="N66" s="1">
        <f t="shared" si="4"/>
        <v>1020000</v>
      </c>
    </row>
    <row r="67" spans="1:19" x14ac:dyDescent="0.3">
      <c r="A67" s="4" t="s">
        <v>310</v>
      </c>
      <c r="J67" s="1">
        <v>2000000</v>
      </c>
      <c r="N67" s="1">
        <f t="shared" si="4"/>
        <v>2000000</v>
      </c>
    </row>
    <row r="68" spans="1:19" x14ac:dyDescent="0.3">
      <c r="A68" s="4" t="s">
        <v>101</v>
      </c>
      <c r="M68" s="1">
        <v>454304</v>
      </c>
      <c r="N68" s="1">
        <f t="shared" si="4"/>
        <v>454304</v>
      </c>
    </row>
    <row r="69" spans="1:19" x14ac:dyDescent="0.3">
      <c r="A69" s="4" t="s">
        <v>266</v>
      </c>
      <c r="F69" s="1">
        <v>104898004</v>
      </c>
      <c r="H69" s="1">
        <v>40754973</v>
      </c>
      <c r="K69" s="39">
        <v>51540585</v>
      </c>
      <c r="L69" s="1">
        <v>1000000</v>
      </c>
      <c r="M69" s="1">
        <v>60823346</v>
      </c>
      <c r="N69" s="1">
        <f t="shared" si="4"/>
        <v>259016908</v>
      </c>
    </row>
    <row r="70" spans="1:19" x14ac:dyDescent="0.3">
      <c r="A70" s="4" t="s">
        <v>330</v>
      </c>
      <c r="M70" s="1">
        <v>1800000</v>
      </c>
      <c r="N70" s="1">
        <f t="shared" si="4"/>
        <v>1800000</v>
      </c>
    </row>
    <row r="71" spans="1:19" x14ac:dyDescent="0.3">
      <c r="A71" s="4" t="s">
        <v>263</v>
      </c>
      <c r="E71" s="1">
        <v>100000000</v>
      </c>
      <c r="N71" s="1">
        <f t="shared" si="4"/>
        <v>100000000</v>
      </c>
    </row>
    <row r="72" spans="1:19" x14ac:dyDescent="0.3">
      <c r="A72" s="4" t="s">
        <v>331</v>
      </c>
      <c r="M72" s="1">
        <v>10000</v>
      </c>
      <c r="N72" s="1">
        <f t="shared" si="4"/>
        <v>10000</v>
      </c>
    </row>
    <row r="73" spans="1:19" x14ac:dyDescent="0.3">
      <c r="A73" s="4" t="s">
        <v>19</v>
      </c>
      <c r="B73" s="1">
        <v>133746.61000000002</v>
      </c>
      <c r="C73" s="1">
        <v>121014.15</v>
      </c>
      <c r="D73" s="1">
        <v>54941.34</v>
      </c>
      <c r="E73" s="1">
        <v>5747.2000000000007</v>
      </c>
      <c r="F73" s="1">
        <v>169589.33</v>
      </c>
      <c r="G73" s="1">
        <v>88866.71</v>
      </c>
      <c r="H73" s="1">
        <v>26266.2</v>
      </c>
      <c r="I73" s="1">
        <v>66618.17</v>
      </c>
      <c r="J73" s="1">
        <v>16343.18</v>
      </c>
      <c r="K73" s="39">
        <v>28947.06</v>
      </c>
      <c r="L73" s="1">
        <v>137221.41</v>
      </c>
      <c r="M73" s="1">
        <v>94487.11</v>
      </c>
      <c r="N73" s="1">
        <f t="shared" si="4"/>
        <v>943788.47000000009</v>
      </c>
    </row>
    <row r="74" spans="1:19" x14ac:dyDescent="0.3">
      <c r="A74" s="4" t="s">
        <v>2</v>
      </c>
      <c r="B74" s="1">
        <v>101161</v>
      </c>
      <c r="C74" s="1">
        <v>-98979</v>
      </c>
      <c r="D74" s="1">
        <v>90121</v>
      </c>
      <c r="E74" s="1">
        <v>72821</v>
      </c>
      <c r="F74" s="1">
        <v>820821</v>
      </c>
      <c r="G74" s="1">
        <v>716871</v>
      </c>
      <c r="H74" s="1">
        <v>162021</v>
      </c>
      <c r="I74" s="1">
        <v>561721</v>
      </c>
      <c r="J74" s="1">
        <v>567821</v>
      </c>
      <c r="K74" s="39">
        <v>273521</v>
      </c>
      <c r="L74" s="1">
        <v>570221</v>
      </c>
      <c r="M74" s="1">
        <v>198771</v>
      </c>
      <c r="N74" s="1">
        <v>198771</v>
      </c>
    </row>
    <row r="75" spans="1:19" x14ac:dyDescent="0.3">
      <c r="A75" s="4" t="s">
        <v>3</v>
      </c>
      <c r="B75" s="1">
        <v>182937998.65000001</v>
      </c>
      <c r="C75" s="1">
        <v>102561612.65000001</v>
      </c>
      <c r="D75" s="1">
        <v>83404792.609999999</v>
      </c>
      <c r="E75" s="1">
        <v>91931664.180000007</v>
      </c>
      <c r="F75" s="1">
        <v>4654336.0599999996</v>
      </c>
      <c r="G75" s="1">
        <v>16632405.23</v>
      </c>
      <c r="H75" s="1">
        <v>42031948.039999999</v>
      </c>
      <c r="I75" s="1">
        <v>57059251.270000003</v>
      </c>
      <c r="J75" s="1">
        <v>81999240.319999993</v>
      </c>
      <c r="K75" s="39">
        <v>101938414.79000001</v>
      </c>
      <c r="L75" s="1">
        <v>47686521.729999997</v>
      </c>
      <c r="M75" s="1">
        <v>174914498.95999998</v>
      </c>
      <c r="N75" s="1">
        <v>174914498.95999998</v>
      </c>
    </row>
    <row r="76" spans="1:19" x14ac:dyDescent="0.3">
      <c r="A76" s="4" t="s">
        <v>4</v>
      </c>
      <c r="B76" s="1">
        <v>157873.31000000006</v>
      </c>
      <c r="C76" s="1">
        <v>-354340.06</v>
      </c>
      <c r="D76" s="1">
        <v>1991688.31</v>
      </c>
      <c r="E76" s="1">
        <v>1906160.48</v>
      </c>
      <c r="F76" s="1">
        <v>978760.83000000007</v>
      </c>
      <c r="G76" s="1">
        <v>374042.73</v>
      </c>
      <c r="H76" s="1">
        <v>38295.599999999999</v>
      </c>
      <c r="I76" s="1">
        <v>1261762.43</v>
      </c>
      <c r="J76" s="1">
        <v>2079392.5999999996</v>
      </c>
      <c r="K76" s="39">
        <v>1301934.1499999999</v>
      </c>
      <c r="L76" s="1">
        <v>682591.34</v>
      </c>
      <c r="M76" s="1">
        <v>3050987.3800000008</v>
      </c>
      <c r="N76" s="1">
        <v>3050987.3800000008</v>
      </c>
    </row>
    <row r="77" spans="1:19" x14ac:dyDescent="0.3">
      <c r="A77" s="4" t="s">
        <v>5</v>
      </c>
      <c r="B77" s="1">
        <v>1545213.38</v>
      </c>
      <c r="C77" s="1">
        <v>1545213.38</v>
      </c>
      <c r="D77" s="1">
        <v>206149743.38</v>
      </c>
      <c r="E77" s="1">
        <v>477229235.11000001</v>
      </c>
      <c r="F77" s="1">
        <v>372267858.43000001</v>
      </c>
      <c r="G77" s="1">
        <v>222182878.55000001</v>
      </c>
      <c r="H77" s="1">
        <v>183994801.75999999</v>
      </c>
      <c r="I77" s="1">
        <v>162514339.24000001</v>
      </c>
      <c r="J77" s="1">
        <v>163634257.24000001</v>
      </c>
      <c r="K77" s="39">
        <v>112065969.18000001</v>
      </c>
      <c r="L77" s="3">
        <v>117342483.09</v>
      </c>
      <c r="M77" s="3">
        <v>163919874.54000002</v>
      </c>
      <c r="N77" s="3">
        <v>163919874.54000002</v>
      </c>
    </row>
    <row r="78" spans="1:19" s="2" customFormat="1" x14ac:dyDescent="0.3">
      <c r="A78" s="6"/>
      <c r="B78" s="3">
        <f>SUM(B31:B77)</f>
        <v>207360605.06</v>
      </c>
      <c r="C78" s="3">
        <f t="shared" ref="C78:N78" si="5">SUM(C31:C77)</f>
        <v>212919982.94999999</v>
      </c>
      <c r="D78" s="3">
        <f t="shared" si="5"/>
        <v>336485388.75</v>
      </c>
      <c r="E78" s="3">
        <f t="shared" si="5"/>
        <v>673387390.08000004</v>
      </c>
      <c r="F78" s="3">
        <f t="shared" si="5"/>
        <v>585851119.43000007</v>
      </c>
      <c r="G78" s="3">
        <f t="shared" si="5"/>
        <v>391482476.33000004</v>
      </c>
      <c r="H78" s="3">
        <f t="shared" si="5"/>
        <v>270887617.70999998</v>
      </c>
      <c r="I78" s="3">
        <f t="shared" si="5"/>
        <v>334231112.27000004</v>
      </c>
      <c r="J78" s="3">
        <f t="shared" si="5"/>
        <v>254860604.44999999</v>
      </c>
      <c r="K78" s="3">
        <f t="shared" si="5"/>
        <v>270857997.29000002</v>
      </c>
      <c r="L78" s="3">
        <f t="shared" si="5"/>
        <v>249909111.77000001</v>
      </c>
      <c r="M78" s="3">
        <f t="shared" si="5"/>
        <v>411849071.13999999</v>
      </c>
      <c r="N78" s="3">
        <f t="shared" si="5"/>
        <v>1352516016.2400002</v>
      </c>
      <c r="O78" s="3"/>
      <c r="P78" s="3"/>
      <c r="Q78" s="3"/>
      <c r="R78" s="3"/>
      <c r="S78" s="3"/>
    </row>
  </sheetData>
  <sortState xmlns:xlrd2="http://schemas.microsoft.com/office/spreadsheetml/2017/richdata2" ref="A1:N23">
    <sortCondition ref="A24"/>
  </sortState>
  <printOptions gridLines="1"/>
  <pageMargins left="0.7" right="0.7" top="0.75" bottom="0.75" header="0.3" footer="0.3"/>
  <pageSetup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3"/>
  <sheetViews>
    <sheetView view="pageLayout" workbookViewId="0">
      <selection activeCell="G11" sqref="G11"/>
    </sheetView>
  </sheetViews>
  <sheetFormatPr defaultRowHeight="14.4" x14ac:dyDescent="0.3"/>
  <cols>
    <col min="1" max="1" width="16" customWidth="1"/>
    <col min="2" max="3" width="16.88671875" style="1" bestFit="1" customWidth="1"/>
    <col min="4" max="5" width="15" style="1" customWidth="1"/>
    <col min="6" max="6" width="16" style="1" bestFit="1" customWidth="1"/>
    <col min="7" max="7" width="16.88671875" style="1" customWidth="1"/>
    <col min="8" max="9" width="16.88671875" style="1" bestFit="1" customWidth="1"/>
    <col min="10" max="10" width="15.44140625" style="1" bestFit="1" customWidth="1"/>
    <col min="11" max="11" width="15.5546875" style="1" bestFit="1" customWidth="1"/>
    <col min="12" max="12" width="16.88671875" style="1" bestFit="1" customWidth="1"/>
    <col min="13" max="13" width="9.109375"/>
  </cols>
  <sheetData>
    <row r="1" spans="1:12" x14ac:dyDescent="0.3">
      <c r="A1" s="3" t="s">
        <v>294</v>
      </c>
      <c r="C1" s="3"/>
    </row>
    <row r="2" spans="1:12" s="2" customFormat="1" ht="45.75" customHeight="1" x14ac:dyDescent="0.3">
      <c r="A2" s="32" t="s">
        <v>143</v>
      </c>
      <c r="B2" s="33" t="s">
        <v>397</v>
      </c>
      <c r="C2" s="33" t="s">
        <v>152</v>
      </c>
      <c r="D2" s="33" t="s">
        <v>122</v>
      </c>
      <c r="E2" s="33" t="s">
        <v>291</v>
      </c>
      <c r="F2" s="33" t="s">
        <v>133</v>
      </c>
      <c r="G2" s="33" t="s">
        <v>398</v>
      </c>
      <c r="H2" s="33" t="s">
        <v>134</v>
      </c>
      <c r="I2" s="33" t="s">
        <v>153</v>
      </c>
      <c r="J2" s="33" t="s">
        <v>135</v>
      </c>
      <c r="K2" s="33" t="s">
        <v>399</v>
      </c>
      <c r="L2" s="33" t="s">
        <v>61</v>
      </c>
    </row>
    <row r="3" spans="1:12" x14ac:dyDescent="0.3">
      <c r="A3" s="23"/>
      <c r="B3" s="25" t="s">
        <v>32</v>
      </c>
      <c r="C3" s="25"/>
      <c r="D3" s="25" t="s">
        <v>32</v>
      </c>
      <c r="E3" s="25"/>
      <c r="F3" s="25" t="s">
        <v>32</v>
      </c>
      <c r="G3" s="25" t="s">
        <v>32</v>
      </c>
      <c r="H3" s="25" t="s">
        <v>32</v>
      </c>
      <c r="I3" s="25"/>
      <c r="J3" s="25" t="s">
        <v>32</v>
      </c>
      <c r="K3" s="25" t="s">
        <v>32</v>
      </c>
      <c r="L3" s="25" t="s">
        <v>32</v>
      </c>
    </row>
    <row r="4" spans="1:12" x14ac:dyDescent="0.3">
      <c r="A4" s="23" t="s">
        <v>221</v>
      </c>
      <c r="B4" s="25">
        <v>460429049</v>
      </c>
      <c r="C4" s="25">
        <v>490742426.75</v>
      </c>
      <c r="D4" s="102">
        <v>303433393.86000001</v>
      </c>
      <c r="E4" s="28" t="s">
        <v>91</v>
      </c>
      <c r="F4" s="25">
        <v>12852660</v>
      </c>
      <c r="G4" s="25">
        <v>14013695</v>
      </c>
      <c r="H4" s="25">
        <v>733450</v>
      </c>
      <c r="I4" s="25">
        <v>16493700</v>
      </c>
      <c r="J4" s="25">
        <v>14332867</v>
      </c>
      <c r="K4" s="25">
        <v>2370000</v>
      </c>
      <c r="L4" s="24">
        <v>1299397078.4890003</v>
      </c>
    </row>
    <row r="5" spans="1:12" x14ac:dyDescent="0.3">
      <c r="A5" s="23" t="s">
        <v>62</v>
      </c>
      <c r="B5" s="28">
        <v>450000</v>
      </c>
      <c r="C5" s="102"/>
      <c r="D5" s="28" t="s">
        <v>91</v>
      </c>
      <c r="E5" s="102">
        <v>259016908</v>
      </c>
      <c r="F5" s="28">
        <v>1721000</v>
      </c>
      <c r="G5" s="28" t="s">
        <v>91</v>
      </c>
      <c r="H5" s="28" t="s">
        <v>91</v>
      </c>
      <c r="I5" s="28" t="s">
        <v>91</v>
      </c>
      <c r="J5" s="28" t="s">
        <v>91</v>
      </c>
      <c r="K5" s="28">
        <v>19386100</v>
      </c>
      <c r="L5" s="24">
        <f>SUM(B5:K5)</f>
        <v>280574008</v>
      </c>
    </row>
    <row r="6" spans="1:12" x14ac:dyDescent="0.3">
      <c r="A6" s="23" t="s">
        <v>108</v>
      </c>
      <c r="B6" s="28" t="s">
        <v>91</v>
      </c>
      <c r="C6" s="28" t="s">
        <v>91</v>
      </c>
      <c r="D6" s="28" t="s">
        <v>91</v>
      </c>
      <c r="E6" s="28" t="s">
        <v>91</v>
      </c>
      <c r="F6" s="28" t="s">
        <v>91</v>
      </c>
      <c r="G6" s="28" t="s">
        <v>91</v>
      </c>
      <c r="H6" s="28" t="s">
        <v>91</v>
      </c>
      <c r="I6" s="28" t="s">
        <v>91</v>
      </c>
      <c r="J6" s="28" t="s">
        <v>91</v>
      </c>
      <c r="K6" s="28" t="s">
        <v>91</v>
      </c>
      <c r="L6" s="28" t="s">
        <v>91</v>
      </c>
    </row>
    <row r="7" spans="1:12" s="2" customFormat="1" x14ac:dyDescent="0.3">
      <c r="A7" s="32" t="s">
        <v>257</v>
      </c>
      <c r="B7" s="33">
        <f>SUM(B4:B5)</f>
        <v>460879049</v>
      </c>
      <c r="C7" s="33">
        <f>SUM(C4:C5)</f>
        <v>490742426.75</v>
      </c>
      <c r="D7" s="33">
        <f t="shared" ref="D7:J7" si="0">SUM(D4:D5)</f>
        <v>303433393.86000001</v>
      </c>
      <c r="E7" s="33">
        <f>SUM(E5:E5)</f>
        <v>259016908</v>
      </c>
      <c r="F7" s="33">
        <f t="shared" si="0"/>
        <v>14573660</v>
      </c>
      <c r="G7" s="33">
        <f t="shared" si="0"/>
        <v>14013695</v>
      </c>
      <c r="H7" s="33">
        <f t="shared" si="0"/>
        <v>733450</v>
      </c>
      <c r="I7" s="33">
        <f t="shared" si="0"/>
        <v>16493700</v>
      </c>
      <c r="J7" s="33">
        <f t="shared" si="0"/>
        <v>14332867</v>
      </c>
      <c r="K7" s="33">
        <f>SUM(K4:K5)</f>
        <v>21756100</v>
      </c>
      <c r="L7" s="24">
        <f t="shared" ref="L7:L11" si="1">SUM(B7:K7)</f>
        <v>1595975249.6100001</v>
      </c>
    </row>
    <row r="8" spans="1:12" x14ac:dyDescent="0.3">
      <c r="A8" s="23" t="s">
        <v>216</v>
      </c>
      <c r="L8" s="103"/>
    </row>
    <row r="9" spans="1:12" x14ac:dyDescent="0.3">
      <c r="A9" s="23" t="s">
        <v>229</v>
      </c>
      <c r="B9" s="28" t="s">
        <v>91</v>
      </c>
      <c r="C9" s="28" t="s">
        <v>91</v>
      </c>
      <c r="D9" s="28" t="s">
        <v>91</v>
      </c>
      <c r="E9" s="28" t="s">
        <v>91</v>
      </c>
      <c r="F9" s="25">
        <v>5528458</v>
      </c>
      <c r="G9" s="25">
        <v>2802739.0210000002</v>
      </c>
      <c r="H9" s="25">
        <v>485725</v>
      </c>
      <c r="I9" s="28">
        <v>1649370</v>
      </c>
      <c r="J9" s="25">
        <v>5573871.1000000006</v>
      </c>
      <c r="K9" s="25">
        <v>474000</v>
      </c>
      <c r="L9" s="24">
        <f>SUM(B9:K9)</f>
        <v>16514163.120999999</v>
      </c>
    </row>
    <row r="10" spans="1:12" x14ac:dyDescent="0.3">
      <c r="A10" s="23" t="s">
        <v>222</v>
      </c>
      <c r="B10" s="28" t="s">
        <v>91</v>
      </c>
      <c r="C10" s="28" t="s">
        <v>91</v>
      </c>
      <c r="D10" s="28" t="s">
        <v>91</v>
      </c>
      <c r="E10" s="28" t="s">
        <v>91</v>
      </c>
      <c r="F10" s="25">
        <v>1457366</v>
      </c>
      <c r="G10" s="25">
        <v>1401369.5</v>
      </c>
      <c r="H10" s="25">
        <v>183362.5</v>
      </c>
      <c r="I10" s="25">
        <v>1649370</v>
      </c>
      <c r="J10" s="25">
        <v>1433286.7000000002</v>
      </c>
      <c r="K10" s="25">
        <v>237000</v>
      </c>
      <c r="L10" s="24">
        <f t="shared" si="1"/>
        <v>6361754.7000000002</v>
      </c>
    </row>
    <row r="11" spans="1:12" s="2" customFormat="1" x14ac:dyDescent="0.3">
      <c r="A11" s="32" t="s">
        <v>257</v>
      </c>
      <c r="B11" s="28" t="s">
        <v>91</v>
      </c>
      <c r="C11" s="28" t="s">
        <v>91</v>
      </c>
      <c r="D11" s="28" t="s">
        <v>91</v>
      </c>
      <c r="E11" s="28" t="s">
        <v>91</v>
      </c>
      <c r="F11" s="33">
        <f>SUM(F9:F10)</f>
        <v>6985824</v>
      </c>
      <c r="G11" s="33">
        <f t="shared" ref="G11:K11" si="2">SUM(G9:G10)</f>
        <v>4204108.5209999997</v>
      </c>
      <c r="H11" s="33">
        <f t="shared" si="2"/>
        <v>669087.5</v>
      </c>
      <c r="I11" s="33">
        <f t="shared" si="2"/>
        <v>3298740</v>
      </c>
      <c r="J11" s="33">
        <f t="shared" si="2"/>
        <v>7007157.8000000007</v>
      </c>
      <c r="K11" s="33">
        <f t="shared" si="2"/>
        <v>711000</v>
      </c>
      <c r="L11" s="24">
        <f t="shared" si="1"/>
        <v>22875917.821000002</v>
      </c>
    </row>
    <row r="12" spans="1:12" s="2" customFormat="1" x14ac:dyDescent="0.3">
      <c r="A12" s="32" t="s">
        <v>223</v>
      </c>
      <c r="B12" s="33">
        <v>460879049</v>
      </c>
      <c r="C12" s="33">
        <v>490742426.75</v>
      </c>
      <c r="D12" s="33">
        <v>303433393.86000001</v>
      </c>
      <c r="E12" s="24">
        <v>259016908</v>
      </c>
      <c r="F12" s="33">
        <f>F7-F11</f>
        <v>7587836</v>
      </c>
      <c r="G12" s="33">
        <f t="shared" ref="G12:J12" si="3">G7-G11</f>
        <v>9809586.4790000003</v>
      </c>
      <c r="H12" s="33">
        <f t="shared" si="3"/>
        <v>64362.5</v>
      </c>
      <c r="I12" s="33">
        <f t="shared" si="3"/>
        <v>13194960</v>
      </c>
      <c r="J12" s="33">
        <f t="shared" si="3"/>
        <v>7325709.1999999993</v>
      </c>
      <c r="K12" s="33">
        <f>K7-K11</f>
        <v>21045100</v>
      </c>
      <c r="L12" s="33">
        <f>L7-L11</f>
        <v>1573099331.789</v>
      </c>
    </row>
    <row r="13" spans="1:12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</sheetData>
  <pageMargins left="0.25" right="0.25" top="0.75" bottom="0.75" header="0.3" footer="0.3"/>
  <pageSetup scale="68" orientation="landscape" r:id="rId1"/>
  <headerFooter>
    <oddFooter>&amp;C3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4"/>
  <sheetViews>
    <sheetView topLeftCell="A52" workbookViewId="0">
      <selection activeCell="C64" sqref="C64"/>
    </sheetView>
  </sheetViews>
  <sheetFormatPr defaultRowHeight="14.4" x14ac:dyDescent="0.3"/>
  <cols>
    <col min="1" max="1" width="39.44140625" bestFit="1" customWidth="1"/>
    <col min="2" max="2" width="4.6640625" customWidth="1"/>
    <col min="3" max="3" width="29.109375" style="58" customWidth="1"/>
    <col min="4" max="4" width="24.88671875" style="58" bestFit="1" customWidth="1"/>
    <col min="5" max="5" width="15.33203125" bestFit="1" customWidth="1"/>
  </cols>
  <sheetData>
    <row r="1" spans="1:5" ht="16.8" x14ac:dyDescent="0.3">
      <c r="A1" s="121" t="s">
        <v>100</v>
      </c>
      <c r="B1" s="121"/>
      <c r="C1" s="121"/>
      <c r="D1" s="121"/>
    </row>
    <row r="2" spans="1:5" ht="14.25" customHeight="1" x14ac:dyDescent="0.3">
      <c r="A2" s="121" t="s">
        <v>332</v>
      </c>
      <c r="B2" s="121"/>
      <c r="C2" s="121"/>
      <c r="D2" s="121"/>
    </row>
    <row r="3" spans="1:5" ht="15.6" x14ac:dyDescent="0.3">
      <c r="A3" s="11" t="s">
        <v>29</v>
      </c>
      <c r="B3" s="13"/>
      <c r="C3" s="73" t="s">
        <v>30</v>
      </c>
      <c r="D3" s="73" t="s">
        <v>31</v>
      </c>
    </row>
    <row r="4" spans="1:5" ht="15.6" x14ac:dyDescent="0.3">
      <c r="A4" s="4"/>
      <c r="B4" s="13"/>
      <c r="C4" s="73" t="s">
        <v>32</v>
      </c>
      <c r="D4" s="73" t="s">
        <v>32</v>
      </c>
    </row>
    <row r="5" spans="1:5" ht="15.6" x14ac:dyDescent="0.3">
      <c r="A5" s="4" t="s">
        <v>33</v>
      </c>
      <c r="B5" s="13"/>
      <c r="C5" s="73">
        <v>7885932390</v>
      </c>
      <c r="D5" s="73"/>
    </row>
    <row r="6" spans="1:5" ht="15.6" x14ac:dyDescent="0.3">
      <c r="A6" s="4" t="s">
        <v>86</v>
      </c>
      <c r="B6" s="13"/>
      <c r="C6" s="73">
        <v>38514209</v>
      </c>
      <c r="D6" s="73"/>
    </row>
    <row r="7" spans="1:5" ht="15.6" x14ac:dyDescent="0.3">
      <c r="A7" s="4" t="s">
        <v>88</v>
      </c>
      <c r="B7" s="13"/>
      <c r="C7" s="73">
        <v>35784229.380000003</v>
      </c>
      <c r="D7" s="73"/>
    </row>
    <row r="8" spans="1:5" ht="15.6" x14ac:dyDescent="0.3">
      <c r="A8" s="4" t="s">
        <v>295</v>
      </c>
      <c r="B8" s="13"/>
      <c r="C8" s="73">
        <v>200000000</v>
      </c>
      <c r="D8" s="73"/>
    </row>
    <row r="9" spans="1:5" ht="15.6" x14ac:dyDescent="0.3">
      <c r="A9" s="4" t="s">
        <v>87</v>
      </c>
      <c r="B9" s="13"/>
      <c r="C9" s="73">
        <v>100200000</v>
      </c>
      <c r="D9" s="73"/>
    </row>
    <row r="10" spans="1:5" ht="15.6" x14ac:dyDescent="0.3">
      <c r="A10" s="4" t="s">
        <v>273</v>
      </c>
      <c r="B10" s="13"/>
      <c r="C10" s="73">
        <v>40000000</v>
      </c>
      <c r="D10" s="73"/>
    </row>
    <row r="11" spans="1:5" ht="15.6" x14ac:dyDescent="0.3">
      <c r="A11" s="4" t="s">
        <v>276</v>
      </c>
      <c r="B11" s="13"/>
      <c r="C11" s="73">
        <v>100000000</v>
      </c>
      <c r="D11" s="73"/>
    </row>
    <row r="12" spans="1:5" ht="15.6" x14ac:dyDescent="0.3">
      <c r="A12" s="11" t="s">
        <v>112</v>
      </c>
      <c r="B12" s="13"/>
      <c r="C12" s="73">
        <v>50000000</v>
      </c>
      <c r="D12" s="73"/>
    </row>
    <row r="13" spans="1:5" ht="15.6" x14ac:dyDescent="0.3">
      <c r="A13" s="4" t="s">
        <v>283</v>
      </c>
      <c r="B13" s="13"/>
      <c r="C13" s="73">
        <v>580286097</v>
      </c>
      <c r="D13" s="73"/>
    </row>
    <row r="14" spans="1:5" ht="18" x14ac:dyDescent="0.35">
      <c r="A14" s="7" t="s">
        <v>95</v>
      </c>
      <c r="B14" s="13"/>
      <c r="C14" s="73">
        <v>1550000</v>
      </c>
      <c r="D14" s="73"/>
      <c r="E14" s="1"/>
    </row>
    <row r="15" spans="1:5" ht="15.6" x14ac:dyDescent="0.3">
      <c r="A15" s="4" t="s">
        <v>34</v>
      </c>
      <c r="B15" s="13"/>
      <c r="C15" s="73">
        <v>139</v>
      </c>
      <c r="D15" s="73"/>
    </row>
    <row r="16" spans="1:5" ht="15.6" x14ac:dyDescent="0.3">
      <c r="A16" s="4" t="s">
        <v>35</v>
      </c>
      <c r="B16" s="13"/>
      <c r="C16" s="73">
        <v>5503427</v>
      </c>
      <c r="D16" s="73"/>
    </row>
    <row r="17" spans="1:5" ht="15.6" x14ac:dyDescent="0.3">
      <c r="A17" s="4" t="s">
        <v>83</v>
      </c>
      <c r="B17" s="13"/>
      <c r="C17" s="73">
        <v>75272979.489999995</v>
      </c>
      <c r="D17" s="73"/>
    </row>
    <row r="18" spans="1:5" ht="15.6" x14ac:dyDescent="0.3">
      <c r="A18" s="11" t="s">
        <v>230</v>
      </c>
      <c r="B18" s="13"/>
      <c r="C18" s="73">
        <v>3495176088.4300003</v>
      </c>
      <c r="D18" s="87"/>
    </row>
    <row r="19" spans="1:5" ht="15.6" x14ac:dyDescent="0.3">
      <c r="A19" s="11" t="s">
        <v>275</v>
      </c>
      <c r="B19" s="13"/>
      <c r="C19" s="73">
        <v>33176000</v>
      </c>
      <c r="D19" s="73"/>
    </row>
    <row r="20" spans="1:5" ht="15.6" x14ac:dyDescent="0.3">
      <c r="A20" s="4" t="s">
        <v>70</v>
      </c>
      <c r="B20" s="13"/>
      <c r="C20" s="73">
        <v>34793670.599999994</v>
      </c>
      <c r="D20" s="73"/>
    </row>
    <row r="21" spans="1:5" ht="15.6" x14ac:dyDescent="0.3">
      <c r="A21" s="4" t="s">
        <v>36</v>
      </c>
      <c r="B21" s="13"/>
      <c r="C21" s="73"/>
      <c r="D21" s="73">
        <v>44000</v>
      </c>
    </row>
    <row r="22" spans="1:5" ht="15.6" x14ac:dyDescent="0.3">
      <c r="A22" s="4" t="s">
        <v>37</v>
      </c>
      <c r="B22" s="13"/>
      <c r="C22" s="73"/>
      <c r="D22" s="73">
        <v>44000</v>
      </c>
    </row>
    <row r="23" spans="1:5" ht="15.6" x14ac:dyDescent="0.3">
      <c r="A23" s="4" t="s">
        <v>38</v>
      </c>
      <c r="B23" s="13"/>
      <c r="C23" s="73"/>
      <c r="D23" s="73">
        <v>17000</v>
      </c>
    </row>
    <row r="24" spans="1:5" ht="15.6" x14ac:dyDescent="0.3">
      <c r="A24" s="4" t="s">
        <v>39</v>
      </c>
      <c r="B24" s="13"/>
      <c r="C24" s="73"/>
      <c r="D24" s="73">
        <v>27000</v>
      </c>
    </row>
    <row r="25" spans="1:5" ht="15.6" x14ac:dyDescent="0.3">
      <c r="A25" s="4" t="s">
        <v>79</v>
      </c>
      <c r="B25" s="13"/>
      <c r="C25" s="73"/>
      <c r="D25" s="73">
        <v>40350</v>
      </c>
    </row>
    <row r="26" spans="1:5" ht="15.6" x14ac:dyDescent="0.3">
      <c r="A26" s="4" t="s">
        <v>40</v>
      </c>
      <c r="B26" s="13"/>
      <c r="C26" s="73"/>
      <c r="D26" s="73">
        <v>6864</v>
      </c>
    </row>
    <row r="27" spans="1:5" ht="15.6" x14ac:dyDescent="0.3">
      <c r="A27" s="4" t="s">
        <v>41</v>
      </c>
      <c r="B27" s="13"/>
      <c r="C27" s="73"/>
      <c r="D27" s="73">
        <v>31237932.844999999</v>
      </c>
    </row>
    <row r="28" spans="1:5" ht="18" x14ac:dyDescent="0.35">
      <c r="A28" s="4" t="s">
        <v>149</v>
      </c>
      <c r="B28" s="13"/>
      <c r="C28" s="73"/>
      <c r="D28" s="54">
        <v>10000000</v>
      </c>
    </row>
    <row r="29" spans="1:5" ht="15.6" x14ac:dyDescent="0.3">
      <c r="A29" s="4" t="s">
        <v>42</v>
      </c>
      <c r="B29" s="13"/>
      <c r="C29" s="73"/>
      <c r="D29" s="73">
        <v>5172390584.4099998</v>
      </c>
    </row>
    <row r="30" spans="1:5" ht="15.6" x14ac:dyDescent="0.3">
      <c r="A30" s="4" t="s">
        <v>6</v>
      </c>
      <c r="B30" s="13"/>
      <c r="C30" s="73"/>
      <c r="D30" s="58">
        <v>420933735.01999998</v>
      </c>
    </row>
    <row r="31" spans="1:5" ht="15.6" x14ac:dyDescent="0.3">
      <c r="A31" s="4" t="s">
        <v>45</v>
      </c>
      <c r="B31" s="13"/>
      <c r="C31" s="73"/>
      <c r="D31" s="73">
        <v>87544265.559999987</v>
      </c>
      <c r="E31" s="39"/>
    </row>
    <row r="32" spans="1:5" ht="15.6" x14ac:dyDescent="0.3">
      <c r="A32" s="4" t="s">
        <v>26</v>
      </c>
      <c r="B32" s="13"/>
      <c r="C32" s="73"/>
      <c r="D32" s="73">
        <v>901355.54</v>
      </c>
      <c r="E32" s="1"/>
    </row>
    <row r="33" spans="1:4" ht="15.6" x14ac:dyDescent="0.3">
      <c r="A33" s="4" t="s">
        <v>113</v>
      </c>
      <c r="B33" s="13"/>
      <c r="C33" s="73"/>
      <c r="D33" s="73">
        <v>2746000</v>
      </c>
    </row>
    <row r="34" spans="1:4" ht="18" x14ac:dyDescent="0.35">
      <c r="A34" s="4" t="s">
        <v>219</v>
      </c>
      <c r="B34" s="13"/>
      <c r="C34" s="73"/>
      <c r="D34" s="54"/>
    </row>
    <row r="35" spans="1:4" ht="15.6" x14ac:dyDescent="0.3">
      <c r="A35" s="4" t="s">
        <v>220</v>
      </c>
      <c r="B35" s="13"/>
      <c r="C35" s="73"/>
      <c r="D35" s="73">
        <v>30000</v>
      </c>
    </row>
    <row r="36" spans="1:4" s="1" customFormat="1" ht="15.6" x14ac:dyDescent="0.3">
      <c r="A36" s="5" t="s">
        <v>104</v>
      </c>
      <c r="B36" s="13"/>
      <c r="C36" s="73"/>
      <c r="D36" s="73">
        <v>265000</v>
      </c>
    </row>
    <row r="37" spans="1:4" s="1" customFormat="1" ht="18" x14ac:dyDescent="0.35">
      <c r="A37" s="7" t="s">
        <v>138</v>
      </c>
      <c r="B37" s="13"/>
      <c r="C37" s="73"/>
      <c r="D37" s="73">
        <v>8392300</v>
      </c>
    </row>
    <row r="38" spans="1:4" s="1" customFormat="1" ht="15.6" x14ac:dyDescent="0.3">
      <c r="A38" s="11" t="s">
        <v>235</v>
      </c>
      <c r="B38" s="13"/>
      <c r="C38" s="73"/>
      <c r="D38" s="73">
        <v>1800000</v>
      </c>
    </row>
    <row r="39" spans="1:4" s="1" customFormat="1" ht="15.6" x14ac:dyDescent="0.3">
      <c r="A39" s="11" t="s">
        <v>218</v>
      </c>
      <c r="B39" s="13"/>
      <c r="C39" s="73"/>
      <c r="D39" s="73">
        <v>4976700</v>
      </c>
    </row>
    <row r="40" spans="1:4" s="1" customFormat="1" ht="18" x14ac:dyDescent="0.35">
      <c r="A40" s="11" t="s">
        <v>311</v>
      </c>
      <c r="B40" s="13"/>
      <c r="C40" s="73"/>
      <c r="D40" s="54">
        <v>1738083.04</v>
      </c>
    </row>
    <row r="41" spans="1:4" s="1" customFormat="1" ht="18" x14ac:dyDescent="0.35">
      <c r="A41" s="4" t="s">
        <v>253</v>
      </c>
      <c r="B41" s="13"/>
      <c r="C41" s="73"/>
      <c r="D41" s="54">
        <v>9364813006.2759991</v>
      </c>
    </row>
    <row r="42" spans="1:4" s="1" customFormat="1" ht="18" x14ac:dyDescent="0.35">
      <c r="A42" s="4" t="s">
        <v>82</v>
      </c>
      <c r="B42" s="13"/>
      <c r="C42" s="73"/>
      <c r="D42" s="54">
        <v>181072099.52999997</v>
      </c>
    </row>
    <row r="43" spans="1:4" s="1" customFormat="1" ht="18" x14ac:dyDescent="0.35">
      <c r="A43" s="4" t="s">
        <v>393</v>
      </c>
      <c r="B43" s="13"/>
      <c r="C43" s="73"/>
      <c r="D43" s="54">
        <v>50954981</v>
      </c>
    </row>
    <row r="44" spans="1:4" s="1" customFormat="1" ht="18" x14ac:dyDescent="0.35">
      <c r="A44" s="4" t="s">
        <v>394</v>
      </c>
      <c r="B44" s="13"/>
      <c r="C44" s="73"/>
      <c r="D44" s="54">
        <v>44549436</v>
      </c>
    </row>
    <row r="45" spans="1:4" ht="15.6" x14ac:dyDescent="0.3">
      <c r="A45" s="4" t="s">
        <v>84</v>
      </c>
      <c r="B45" s="13"/>
      <c r="C45" s="73">
        <v>26561895.640000001</v>
      </c>
      <c r="D45" s="73"/>
    </row>
    <row r="46" spans="1:4" ht="15.6" x14ac:dyDescent="0.3">
      <c r="A46" s="4" t="s">
        <v>361</v>
      </c>
      <c r="B46" s="13"/>
      <c r="C46" s="73">
        <v>1447308.38</v>
      </c>
      <c r="D46" s="73"/>
    </row>
    <row r="47" spans="1:4" s="1" customFormat="1" ht="15.6" x14ac:dyDescent="0.3">
      <c r="A47" s="4" t="s">
        <v>111</v>
      </c>
      <c r="B47" s="13"/>
      <c r="C47" s="73">
        <v>530000</v>
      </c>
      <c r="D47" s="73"/>
    </row>
    <row r="48" spans="1:4" ht="15.6" x14ac:dyDescent="0.3">
      <c r="A48" s="4" t="s">
        <v>146</v>
      </c>
      <c r="B48" s="13"/>
      <c r="C48" s="73">
        <v>1000000</v>
      </c>
      <c r="D48" s="73"/>
    </row>
    <row r="49" spans="1:5" ht="15.6" x14ac:dyDescent="0.3">
      <c r="A49" s="4" t="s">
        <v>224</v>
      </c>
      <c r="B49" s="13"/>
      <c r="C49" s="73">
        <v>11597890.199999999</v>
      </c>
      <c r="D49" s="73"/>
      <c r="E49" s="1"/>
    </row>
    <row r="50" spans="1:5" s="1" customFormat="1" ht="15.6" x14ac:dyDescent="0.3">
      <c r="A50" s="11" t="s">
        <v>80</v>
      </c>
      <c r="B50" s="13"/>
      <c r="C50" s="73">
        <v>140500</v>
      </c>
      <c r="D50" s="73"/>
    </row>
    <row r="51" spans="1:5" s="1" customFormat="1" ht="15.6" x14ac:dyDescent="0.3">
      <c r="A51" s="11" t="s">
        <v>132</v>
      </c>
      <c r="B51" s="13"/>
      <c r="C51" s="71">
        <v>25700</v>
      </c>
      <c r="D51" s="73"/>
    </row>
    <row r="52" spans="1:5" s="1" customFormat="1" ht="15.6" x14ac:dyDescent="0.3">
      <c r="A52" s="11" t="s">
        <v>12</v>
      </c>
      <c r="B52" s="13"/>
      <c r="C52" s="73">
        <v>3442100</v>
      </c>
      <c r="D52" s="73"/>
    </row>
    <row r="53" spans="1:5" s="1" customFormat="1" ht="16.2" thickBot="1" x14ac:dyDescent="0.35">
      <c r="A53" s="11"/>
      <c r="B53" s="13"/>
      <c r="C53" s="95">
        <f>SUM(C5:C52)</f>
        <v>12720934624.120001</v>
      </c>
      <c r="D53" s="95">
        <f>SUM(D5:D52)</f>
        <v>15384524693.220999</v>
      </c>
    </row>
    <row r="54" spans="1:5" s="1" customFormat="1" ht="15.6" x14ac:dyDescent="0.3">
      <c r="A54" s="11"/>
      <c r="B54" s="13"/>
      <c r="C54" s="96" t="s">
        <v>89</v>
      </c>
      <c r="D54" s="96" t="s">
        <v>89</v>
      </c>
    </row>
    <row r="55" spans="1:5" s="1" customFormat="1" ht="15.6" x14ac:dyDescent="0.3">
      <c r="A55" s="11"/>
      <c r="B55" s="13"/>
      <c r="C55" s="73">
        <f>C53</f>
        <v>12720934624.120001</v>
      </c>
      <c r="D55" s="73">
        <f>D53</f>
        <v>15384524693.220999</v>
      </c>
    </row>
    <row r="56" spans="1:5" s="1" customFormat="1" ht="15.6" x14ac:dyDescent="0.3">
      <c r="A56" s="11" t="s">
        <v>24</v>
      </c>
      <c r="B56" s="13"/>
      <c r="C56" s="73">
        <v>29146859.299999997</v>
      </c>
      <c r="D56" s="73"/>
    </row>
    <row r="57" spans="1:5" s="1" customFormat="1" ht="15.6" x14ac:dyDescent="0.3">
      <c r="A57" s="11" t="s">
        <v>115</v>
      </c>
      <c r="B57" s="13"/>
      <c r="C57" s="73">
        <v>8535000</v>
      </c>
      <c r="D57" s="73"/>
    </row>
    <row r="58" spans="1:5" s="1" customFormat="1" ht="15.6" x14ac:dyDescent="0.3">
      <c r="A58" s="11" t="s">
        <v>76</v>
      </c>
      <c r="B58" s="13"/>
      <c r="C58" s="73">
        <v>7587836</v>
      </c>
      <c r="D58" s="73"/>
    </row>
    <row r="59" spans="1:5" s="1" customFormat="1" ht="15.6" x14ac:dyDescent="0.3">
      <c r="A59" s="11" t="s">
        <v>117</v>
      </c>
      <c r="B59" s="13"/>
      <c r="C59" s="73">
        <v>9809586.4800000004</v>
      </c>
      <c r="D59" s="73"/>
    </row>
    <row r="60" spans="1:5" ht="17.399999999999999" x14ac:dyDescent="0.45">
      <c r="A60" s="11" t="s">
        <v>77</v>
      </c>
      <c r="B60" s="13"/>
      <c r="C60" s="73">
        <v>7325709.1999999993</v>
      </c>
      <c r="D60" s="81"/>
      <c r="E60" s="1"/>
    </row>
    <row r="61" spans="1:5" ht="15.6" x14ac:dyDescent="0.3">
      <c r="A61" s="11" t="s">
        <v>116</v>
      </c>
      <c r="B61" s="13"/>
      <c r="C61" s="73">
        <v>1659000</v>
      </c>
      <c r="D61" s="73"/>
    </row>
    <row r="62" spans="1:5" ht="15.6" x14ac:dyDescent="0.3">
      <c r="A62" s="11" t="s">
        <v>140</v>
      </c>
      <c r="B62" s="13"/>
      <c r="C62" s="73">
        <v>2578950</v>
      </c>
      <c r="D62" s="73"/>
    </row>
    <row r="63" spans="1:5" ht="15.6" x14ac:dyDescent="0.3">
      <c r="A63" s="11" t="s">
        <v>148</v>
      </c>
      <c r="B63" s="13"/>
      <c r="C63" s="73">
        <v>13194960</v>
      </c>
      <c r="D63" s="73"/>
    </row>
    <row r="64" spans="1:5" ht="15.6" x14ac:dyDescent="0.3">
      <c r="A64" s="11" t="s">
        <v>43</v>
      </c>
      <c r="B64" s="13"/>
      <c r="C64" s="73">
        <v>6361754.7000000002</v>
      </c>
      <c r="D64" s="73"/>
    </row>
    <row r="65" spans="1:5" ht="15.6" x14ac:dyDescent="0.3">
      <c r="A65" s="11" t="s">
        <v>17</v>
      </c>
      <c r="B65" s="13"/>
      <c r="C65" s="73">
        <v>190250</v>
      </c>
      <c r="D65" s="73"/>
    </row>
    <row r="66" spans="1:5" ht="15.6" x14ac:dyDescent="0.3">
      <c r="A66" s="11" t="s">
        <v>147</v>
      </c>
      <c r="B66" s="13"/>
      <c r="C66" s="73"/>
      <c r="D66" s="73"/>
    </row>
    <row r="67" spans="1:5" ht="15.6" x14ac:dyDescent="0.3">
      <c r="A67" s="11" t="s">
        <v>81</v>
      </c>
      <c r="B67" s="13"/>
      <c r="C67" s="73">
        <v>657200</v>
      </c>
      <c r="D67" s="73"/>
      <c r="E67" s="1"/>
    </row>
    <row r="68" spans="1:5" ht="15.6" x14ac:dyDescent="0.3">
      <c r="A68" s="11" t="s">
        <v>272</v>
      </c>
      <c r="B68" s="13"/>
      <c r="C68" s="73">
        <v>580000</v>
      </c>
      <c r="D68" s="73"/>
      <c r="E68" s="1"/>
    </row>
    <row r="69" spans="1:5" ht="15.6" x14ac:dyDescent="0.3">
      <c r="A69" s="11" t="s">
        <v>330</v>
      </c>
      <c r="B69" s="13"/>
      <c r="C69" s="71">
        <v>1800000</v>
      </c>
      <c r="D69" s="73"/>
      <c r="E69" s="1"/>
    </row>
    <row r="70" spans="1:5" ht="15.6" x14ac:dyDescent="0.3">
      <c r="A70" s="11" t="s">
        <v>98</v>
      </c>
      <c r="B70" s="13"/>
      <c r="C70" s="71">
        <v>418306.04000000004</v>
      </c>
      <c r="D70" s="73"/>
      <c r="E70" s="1"/>
    </row>
    <row r="71" spans="1:5" ht="15.6" x14ac:dyDescent="0.3">
      <c r="A71" s="11" t="s">
        <v>101</v>
      </c>
      <c r="B71" s="13"/>
      <c r="C71" s="71">
        <v>454304</v>
      </c>
      <c r="D71" s="73"/>
      <c r="E71" s="1"/>
    </row>
    <row r="72" spans="1:5" ht="15.6" x14ac:dyDescent="0.3">
      <c r="A72" s="4" t="s">
        <v>105</v>
      </c>
      <c r="C72" s="73">
        <v>349862500</v>
      </c>
      <c r="D72" s="73"/>
      <c r="E72" s="1"/>
    </row>
    <row r="73" spans="1:5" ht="15.6" x14ac:dyDescent="0.3">
      <c r="A73" s="4" t="s">
        <v>118</v>
      </c>
      <c r="C73" s="73">
        <v>111016549</v>
      </c>
      <c r="D73" s="73"/>
      <c r="E73" s="1"/>
    </row>
    <row r="74" spans="1:5" ht="15.6" x14ac:dyDescent="0.3">
      <c r="A74" s="5" t="s">
        <v>119</v>
      </c>
      <c r="C74" s="73">
        <v>303433393.86000001</v>
      </c>
      <c r="D74" s="73"/>
      <c r="E74" s="1"/>
    </row>
    <row r="75" spans="1:5" ht="15.6" x14ac:dyDescent="0.3">
      <c r="A75" s="11" t="s">
        <v>109</v>
      </c>
      <c r="B75" s="13"/>
      <c r="D75" s="73"/>
      <c r="E75" s="1"/>
    </row>
    <row r="76" spans="1:5" s="1" customFormat="1" ht="15.6" x14ac:dyDescent="0.3">
      <c r="A76" s="4" t="s">
        <v>299</v>
      </c>
      <c r="B76"/>
      <c r="C76" s="73">
        <v>380000</v>
      </c>
      <c r="D76" s="73"/>
    </row>
    <row r="77" spans="1:5" s="1" customFormat="1" ht="15.6" x14ac:dyDescent="0.3">
      <c r="A77" s="4" t="s">
        <v>120</v>
      </c>
      <c r="B77"/>
      <c r="C77" s="71">
        <v>290000</v>
      </c>
      <c r="D77" s="73"/>
    </row>
    <row r="78" spans="1:5" s="1" customFormat="1" ht="15.6" x14ac:dyDescent="0.3">
      <c r="A78" s="11" t="s">
        <v>121</v>
      </c>
      <c r="B78" s="13"/>
      <c r="C78" s="73">
        <v>510128526.75</v>
      </c>
      <c r="D78" s="73"/>
    </row>
    <row r="79" spans="1:5" s="1" customFormat="1" ht="15.6" x14ac:dyDescent="0.3">
      <c r="A79" s="11" t="s">
        <v>277</v>
      </c>
      <c r="B79" s="13"/>
      <c r="C79" s="73">
        <v>259016908</v>
      </c>
      <c r="D79" s="73"/>
    </row>
    <row r="80" spans="1:5" s="1" customFormat="1" ht="15.6" x14ac:dyDescent="0.3">
      <c r="A80" s="11" t="s">
        <v>74</v>
      </c>
      <c r="B80" s="13"/>
      <c r="C80" s="73">
        <v>64362.5</v>
      </c>
      <c r="D80" s="73"/>
    </row>
    <row r="81" spans="1:4" s="1" customFormat="1" ht="15.6" x14ac:dyDescent="0.3">
      <c r="A81" s="11" t="s">
        <v>103</v>
      </c>
      <c r="B81" s="13"/>
      <c r="C81" s="73"/>
      <c r="D81" s="73"/>
    </row>
    <row r="82" spans="1:4" s="1" customFormat="1" ht="15.6" x14ac:dyDescent="0.3">
      <c r="A82" s="11" t="s">
        <v>13</v>
      </c>
      <c r="B82" s="13"/>
      <c r="C82" s="73">
        <v>462700</v>
      </c>
      <c r="D82" s="73"/>
    </row>
    <row r="83" spans="1:4" s="1" customFormat="1" ht="15.6" x14ac:dyDescent="0.3">
      <c r="A83" s="11" t="s">
        <v>302</v>
      </c>
      <c r="B83" s="13"/>
      <c r="C83" s="73">
        <v>14500</v>
      </c>
      <c r="D83" s="73"/>
    </row>
    <row r="84" spans="1:4" s="1" customFormat="1" ht="15.6" x14ac:dyDescent="0.3">
      <c r="A84" s="11" t="s">
        <v>11</v>
      </c>
      <c r="B84" s="13"/>
      <c r="C84" s="73">
        <v>213140</v>
      </c>
      <c r="D84" s="73"/>
    </row>
    <row r="85" spans="1:4" s="1" customFormat="1" ht="15.6" x14ac:dyDescent="0.3">
      <c r="A85" s="11" t="s">
        <v>23</v>
      </c>
      <c r="B85" s="13"/>
      <c r="C85" s="73">
        <v>312039293.19000006</v>
      </c>
      <c r="D85" s="73"/>
    </row>
    <row r="86" spans="1:4" s="1" customFormat="1" ht="15.6" x14ac:dyDescent="0.3">
      <c r="A86" s="11" t="s">
        <v>10</v>
      </c>
      <c r="B86" s="13"/>
      <c r="C86" s="73">
        <v>135800</v>
      </c>
      <c r="D86" s="73"/>
    </row>
    <row r="87" spans="1:4" s="1" customFormat="1" ht="15.6" x14ac:dyDescent="0.3">
      <c r="A87" s="11" t="s">
        <v>15</v>
      </c>
      <c r="B87" s="13"/>
      <c r="C87" s="73">
        <v>425500</v>
      </c>
      <c r="D87" s="73"/>
    </row>
    <row r="88" spans="1:4" s="1" customFormat="1" ht="15.6" x14ac:dyDescent="0.3">
      <c r="A88" s="11" t="s">
        <v>85</v>
      </c>
      <c r="B88" s="13"/>
      <c r="C88" s="73">
        <v>9353545.3599999994</v>
      </c>
      <c r="D88" s="73"/>
    </row>
    <row r="89" spans="1:4" s="1" customFormat="1" ht="15.6" x14ac:dyDescent="0.3">
      <c r="A89" s="11" t="s">
        <v>265</v>
      </c>
      <c r="B89" s="13"/>
      <c r="C89" s="73">
        <v>1020000</v>
      </c>
      <c r="D89" s="73"/>
    </row>
    <row r="90" spans="1:4" s="1" customFormat="1" ht="15.6" x14ac:dyDescent="0.3">
      <c r="A90" s="4" t="s">
        <v>114</v>
      </c>
      <c r="B90" s="13"/>
      <c r="C90" s="73">
        <v>2386600</v>
      </c>
      <c r="D90" s="73"/>
    </row>
    <row r="91" spans="1:4" s="1" customFormat="1" ht="15.6" x14ac:dyDescent="0.3">
      <c r="A91" s="11" t="s">
        <v>44</v>
      </c>
      <c r="B91" s="13"/>
      <c r="C91" s="73">
        <v>665950</v>
      </c>
      <c r="D91" s="73"/>
    </row>
    <row r="92" spans="1:4" s="1" customFormat="1" ht="15.6" x14ac:dyDescent="0.3">
      <c r="A92" s="11" t="s">
        <v>102</v>
      </c>
      <c r="B92" s="13"/>
      <c r="C92" s="73">
        <v>8316100</v>
      </c>
      <c r="D92" s="73"/>
    </row>
    <row r="93" spans="1:4" s="1" customFormat="1" ht="15.6" x14ac:dyDescent="0.3">
      <c r="A93" s="11" t="s">
        <v>16</v>
      </c>
      <c r="B93" s="13"/>
      <c r="C93" s="73">
        <v>122000</v>
      </c>
      <c r="D93" s="73"/>
    </row>
    <row r="94" spans="1:4" s="1" customFormat="1" ht="15.6" x14ac:dyDescent="0.3">
      <c r="A94" s="11" t="s">
        <v>309</v>
      </c>
      <c r="B94" s="13"/>
      <c r="C94" s="71">
        <v>2674000</v>
      </c>
      <c r="D94" s="73"/>
    </row>
    <row r="95" spans="1:4" s="1" customFormat="1" ht="15.6" x14ac:dyDescent="0.3">
      <c r="A95" s="11" t="s">
        <v>19</v>
      </c>
      <c r="B95" s="13"/>
      <c r="C95" s="73">
        <v>1307469.68</v>
      </c>
      <c r="D95" s="73"/>
    </row>
    <row r="96" spans="1:4" ht="15.6" x14ac:dyDescent="0.3">
      <c r="A96" s="4" t="s">
        <v>110</v>
      </c>
      <c r="B96" s="13"/>
      <c r="C96" s="58">
        <v>174914498.95999998</v>
      </c>
      <c r="D96" s="73"/>
    </row>
    <row r="97" spans="1:5" ht="16.2" thickBot="1" x14ac:dyDescent="0.35">
      <c r="A97" s="4"/>
      <c r="B97" s="13"/>
      <c r="C97" s="95">
        <f>SUM(C55:C96)</f>
        <v>14859477677.140003</v>
      </c>
      <c r="D97" s="95">
        <f>SUM(D55:D96)</f>
        <v>15384524693.220999</v>
      </c>
      <c r="E97" s="1"/>
    </row>
    <row r="98" spans="1:5" ht="15.6" x14ac:dyDescent="0.3">
      <c r="A98" s="4"/>
      <c r="B98" s="13"/>
      <c r="C98" s="96" t="s">
        <v>89</v>
      </c>
      <c r="D98" s="96" t="s">
        <v>89</v>
      </c>
    </row>
    <row r="99" spans="1:5" ht="15.6" x14ac:dyDescent="0.3">
      <c r="A99" s="4"/>
      <c r="B99" s="13"/>
      <c r="C99" s="73">
        <f>C97</f>
        <v>14859477677.140003</v>
      </c>
      <c r="D99" s="73">
        <f>D97</f>
        <v>15384524693.220999</v>
      </c>
    </row>
    <row r="100" spans="1:5" ht="15.6" x14ac:dyDescent="0.3">
      <c r="A100" s="4" t="s">
        <v>123</v>
      </c>
      <c r="B100" s="13"/>
      <c r="C100" s="58">
        <v>3050987.38</v>
      </c>
      <c r="D100" s="73"/>
    </row>
    <row r="101" spans="1:5" ht="15.6" x14ac:dyDescent="0.3">
      <c r="A101" s="4" t="s">
        <v>124</v>
      </c>
      <c r="B101" s="13"/>
      <c r="C101" s="11">
        <v>73798.3</v>
      </c>
      <c r="D101" s="4"/>
      <c r="E101" s="11"/>
    </row>
    <row r="102" spans="1:5" ht="15.6" x14ac:dyDescent="0.3">
      <c r="A102" s="4" t="s">
        <v>395</v>
      </c>
      <c r="B102" s="13"/>
      <c r="C102" s="11">
        <v>801127</v>
      </c>
      <c r="D102" s="4"/>
      <c r="E102" s="11"/>
    </row>
    <row r="103" spans="1:5" ht="15.6" x14ac:dyDescent="0.3">
      <c r="A103" s="4" t="s">
        <v>125</v>
      </c>
      <c r="B103" s="13"/>
      <c r="C103" s="73">
        <v>92816</v>
      </c>
      <c r="D103" s="73"/>
    </row>
    <row r="104" spans="1:5" ht="15.6" x14ac:dyDescent="0.3">
      <c r="A104" s="4" t="s">
        <v>126</v>
      </c>
      <c r="B104" s="13"/>
      <c r="C104" s="73">
        <v>344836477.69000006</v>
      </c>
      <c r="D104" s="73"/>
    </row>
    <row r="105" spans="1:5" ht="15.6" x14ac:dyDescent="0.3">
      <c r="A105" s="4" t="s">
        <v>127</v>
      </c>
      <c r="B105" s="13"/>
      <c r="C105" s="73">
        <v>822255.56</v>
      </c>
      <c r="D105" s="73"/>
    </row>
    <row r="106" spans="1:5" ht="15.6" x14ac:dyDescent="0.3">
      <c r="A106" s="4" t="s">
        <v>128</v>
      </c>
      <c r="B106" s="13" t="s">
        <v>49</v>
      </c>
      <c r="C106" s="73">
        <v>163919874.54000002</v>
      </c>
      <c r="D106" s="73"/>
    </row>
    <row r="107" spans="1:5" ht="15.6" x14ac:dyDescent="0.3">
      <c r="A107" s="4" t="s">
        <v>129</v>
      </c>
      <c r="B107" s="13"/>
      <c r="C107" s="73">
        <v>70231.81</v>
      </c>
      <c r="D107" s="73"/>
    </row>
    <row r="108" spans="1:5" ht="15.6" x14ac:dyDescent="0.3">
      <c r="A108" s="4" t="s">
        <v>130</v>
      </c>
      <c r="B108" s="13"/>
      <c r="C108" s="73">
        <v>905335.91</v>
      </c>
      <c r="D108" s="73"/>
    </row>
    <row r="109" spans="1:5" ht="15.6" x14ac:dyDescent="0.3">
      <c r="A109" s="4" t="s">
        <v>274</v>
      </c>
      <c r="B109" s="13"/>
      <c r="C109" s="73">
        <v>10275340.810000001</v>
      </c>
      <c r="D109" s="73"/>
    </row>
    <row r="110" spans="1:5" ht="15.6" x14ac:dyDescent="0.3">
      <c r="A110" s="4" t="s">
        <v>131</v>
      </c>
      <c r="B110" s="13"/>
      <c r="C110" s="58">
        <v>198771</v>
      </c>
      <c r="D110" s="73"/>
    </row>
    <row r="111" spans="1:5" ht="16.2" thickBot="1" x14ac:dyDescent="0.35">
      <c r="A111" s="4"/>
      <c r="B111" s="13"/>
      <c r="C111" s="95">
        <f>SUM(C99:C110)</f>
        <v>15384524693.140001</v>
      </c>
      <c r="D111" s="95">
        <f>SUM(D99:D110)</f>
        <v>15384524693.220999</v>
      </c>
    </row>
    <row r="112" spans="1:5" s="1" customFormat="1" x14ac:dyDescent="0.3">
      <c r="A112"/>
      <c r="B112"/>
      <c r="C112" s="58"/>
      <c r="D112" s="58"/>
    </row>
    <row r="113" spans="1:4" s="1" customFormat="1" x14ac:dyDescent="0.3">
      <c r="A113"/>
      <c r="B113"/>
      <c r="C113" s="58">
        <f>C111-D111</f>
        <v>-8.0997467041015625E-2</v>
      </c>
      <c r="D113" s="58"/>
    </row>
    <row r="114" spans="1:4" x14ac:dyDescent="0.3">
      <c r="D114" s="71"/>
    </row>
  </sheetData>
  <mergeCells count="2">
    <mergeCell ref="A1:D1"/>
    <mergeCell ref="A2:D2"/>
  </mergeCells>
  <printOptions gridLines="1"/>
  <pageMargins left="0.7" right="0.7" top="0.75" bottom="0.75" header="0.3" footer="0.3"/>
  <pageSetup scale="90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9"/>
  <sheetViews>
    <sheetView view="pageLayout" topLeftCell="B226" workbookViewId="0">
      <selection activeCell="D242" sqref="D242"/>
    </sheetView>
  </sheetViews>
  <sheetFormatPr defaultColWidth="9.109375" defaultRowHeight="14.4" x14ac:dyDescent="0.3"/>
  <cols>
    <col min="1" max="1" width="9.6640625" customWidth="1"/>
    <col min="2" max="2" width="36.88671875" customWidth="1"/>
    <col min="3" max="3" width="18.6640625" style="58" bestFit="1" customWidth="1"/>
    <col min="4" max="4" width="21.6640625" style="58" bestFit="1" customWidth="1"/>
    <col min="5" max="5" width="18.6640625" style="101" bestFit="1" customWidth="1"/>
  </cols>
  <sheetData>
    <row r="1" spans="2:5" x14ac:dyDescent="0.3">
      <c r="D1" s="69">
        <v>2024</v>
      </c>
      <c r="E1" s="104">
        <v>2023</v>
      </c>
    </row>
    <row r="2" spans="2:5" x14ac:dyDescent="0.3">
      <c r="B2" s="2" t="s">
        <v>52</v>
      </c>
      <c r="C2" s="70" t="s">
        <v>32</v>
      </c>
      <c r="D2" s="70" t="s">
        <v>32</v>
      </c>
      <c r="E2" s="105" t="s">
        <v>32</v>
      </c>
    </row>
    <row r="3" spans="2:5" x14ac:dyDescent="0.3">
      <c r="B3" t="s">
        <v>368</v>
      </c>
      <c r="D3" s="58">
        <v>7885932390</v>
      </c>
      <c r="E3" s="101">
        <v>3178184179.8340001</v>
      </c>
    </row>
    <row r="4" spans="2:5" x14ac:dyDescent="0.3">
      <c r="B4" t="s">
        <v>369</v>
      </c>
      <c r="D4" s="58">
        <v>38514209</v>
      </c>
      <c r="E4" s="101">
        <v>38514209</v>
      </c>
    </row>
    <row r="5" spans="2:5" x14ac:dyDescent="0.3">
      <c r="B5" t="s">
        <v>53</v>
      </c>
      <c r="D5" s="58">
        <v>35784229.380000003</v>
      </c>
      <c r="E5" s="101">
        <v>38257933.920000002</v>
      </c>
    </row>
    <row r="6" spans="2:5" x14ac:dyDescent="0.3">
      <c r="B6" t="s">
        <v>281</v>
      </c>
      <c r="D6" s="58">
        <v>200000000</v>
      </c>
      <c r="E6" s="101">
        <v>200000000</v>
      </c>
    </row>
    <row r="7" spans="2:5" x14ac:dyDescent="0.3">
      <c r="B7" t="s">
        <v>78</v>
      </c>
      <c r="D7" s="58">
        <v>100200000</v>
      </c>
      <c r="E7" s="101">
        <v>100200000</v>
      </c>
    </row>
    <row r="8" spans="2:5" x14ac:dyDescent="0.3">
      <c r="B8" s="26" t="s">
        <v>370</v>
      </c>
      <c r="C8" s="72"/>
      <c r="D8" s="58">
        <v>75272979.489999995</v>
      </c>
      <c r="E8" s="101">
        <v>51419900.090000004</v>
      </c>
    </row>
    <row r="9" spans="2:5" x14ac:dyDescent="0.3">
      <c r="B9" s="26" t="s">
        <v>297</v>
      </c>
      <c r="C9" s="72"/>
      <c r="D9" s="58">
        <v>40000000</v>
      </c>
    </row>
    <row r="10" spans="2:5" x14ac:dyDescent="0.3">
      <c r="B10" s="26" t="s">
        <v>371</v>
      </c>
      <c r="C10" s="72"/>
      <c r="D10" s="58">
        <v>100000000</v>
      </c>
    </row>
    <row r="11" spans="2:5" ht="15.6" x14ac:dyDescent="0.3">
      <c r="B11" s="40" t="s">
        <v>283</v>
      </c>
      <c r="D11" s="73">
        <v>580286097.34699976</v>
      </c>
      <c r="E11" s="101">
        <v>36174931.827</v>
      </c>
    </row>
    <row r="12" spans="2:5" ht="16.2" x14ac:dyDescent="0.45">
      <c r="B12" t="s">
        <v>230</v>
      </c>
      <c r="D12" s="74">
        <v>3495176088.4300003</v>
      </c>
      <c r="E12" s="106">
        <v>32851366</v>
      </c>
    </row>
    <row r="13" spans="2:5" ht="16.2" x14ac:dyDescent="0.45">
      <c r="D13" s="78">
        <f>SUM(D3:D12)</f>
        <v>12551165993.646999</v>
      </c>
      <c r="E13" s="107">
        <f>SUM(E3:E12)</f>
        <v>3675602520.6710005</v>
      </c>
    </row>
    <row r="14" spans="2:5" ht="14.25" customHeight="1" x14ac:dyDescent="0.3">
      <c r="B14" s="27" t="s">
        <v>372</v>
      </c>
      <c r="C14" s="77" t="s">
        <v>150</v>
      </c>
      <c r="D14" s="72"/>
    </row>
    <row r="15" spans="2:5" ht="15.6" x14ac:dyDescent="0.3">
      <c r="B15" t="s">
        <v>106</v>
      </c>
      <c r="C15" s="58">
        <v>161997.75</v>
      </c>
      <c r="D15" s="73">
        <v>51419900.090000004</v>
      </c>
      <c r="E15" s="101">
        <v>41324009.450000003</v>
      </c>
    </row>
    <row r="16" spans="2:5" ht="16.2" x14ac:dyDescent="0.45">
      <c r="B16" t="s">
        <v>351</v>
      </c>
      <c r="C16" s="74">
        <v>15428.899999999994</v>
      </c>
      <c r="D16" s="74">
        <f>C16*1546</f>
        <v>23853079.399999991</v>
      </c>
      <c r="E16" s="106">
        <v>10095890.640000001</v>
      </c>
    </row>
    <row r="17" spans="1:5" ht="16.2" x14ac:dyDescent="0.45">
      <c r="B17" t="s">
        <v>151</v>
      </c>
      <c r="C17" s="78">
        <v>177426.65</v>
      </c>
      <c r="D17" s="78">
        <f>SUM(D15:D16)</f>
        <v>75272979.489999995</v>
      </c>
      <c r="E17" s="108">
        <v>51419900.090000004</v>
      </c>
    </row>
    <row r="18" spans="1:5" ht="16.2" x14ac:dyDescent="0.45">
      <c r="A18" t="s">
        <v>301</v>
      </c>
      <c r="B18" s="27" t="s">
        <v>251</v>
      </c>
      <c r="C18" s="78"/>
      <c r="D18" s="78"/>
    </row>
    <row r="19" spans="1:5" ht="17.399999999999999" x14ac:dyDescent="0.45">
      <c r="B19" t="s">
        <v>106</v>
      </c>
      <c r="C19" s="78"/>
      <c r="D19" s="73">
        <v>32851366</v>
      </c>
    </row>
    <row r="20" spans="1:5" x14ac:dyDescent="0.3">
      <c r="B20" t="s">
        <v>252</v>
      </c>
      <c r="D20" s="58">
        <v>63310740</v>
      </c>
    </row>
    <row r="21" spans="1:5" ht="16.2" x14ac:dyDescent="0.45">
      <c r="B21" t="s">
        <v>296</v>
      </c>
      <c r="C21" s="78"/>
      <c r="D21" s="75">
        <v>3399013982.4300003</v>
      </c>
    </row>
    <row r="22" spans="1:5" ht="16.2" x14ac:dyDescent="0.45">
      <c r="B22" s="2" t="s">
        <v>280</v>
      </c>
      <c r="C22" s="78"/>
      <c r="D22" s="78">
        <f>SUM(D19:D21)</f>
        <v>3495176088.4300003</v>
      </c>
    </row>
    <row r="23" spans="1:5" ht="16.2" x14ac:dyDescent="0.45">
      <c r="B23" s="2" t="s">
        <v>347</v>
      </c>
      <c r="C23" s="78"/>
      <c r="D23" s="76"/>
    </row>
    <row r="24" spans="1:5" ht="16.2" x14ac:dyDescent="0.45">
      <c r="B24" t="s">
        <v>106</v>
      </c>
      <c r="C24" s="78"/>
      <c r="D24" s="58">
        <v>38257933.920000002</v>
      </c>
      <c r="E24" s="101">
        <v>50000000</v>
      </c>
    </row>
    <row r="25" spans="1:5" ht="16.2" x14ac:dyDescent="0.45">
      <c r="B25" t="s">
        <v>373</v>
      </c>
      <c r="C25" s="78"/>
      <c r="D25" s="74">
        <v>2473704.5399999991</v>
      </c>
      <c r="E25" s="106">
        <v>11742066.08</v>
      </c>
    </row>
    <row r="26" spans="1:5" ht="16.2" x14ac:dyDescent="0.45">
      <c r="B26" t="s">
        <v>151</v>
      </c>
      <c r="C26" s="78"/>
      <c r="D26" s="78">
        <v>35784229.380000003</v>
      </c>
      <c r="E26" s="108">
        <v>38257933.920000002</v>
      </c>
    </row>
    <row r="27" spans="1:5" ht="16.2" x14ac:dyDescent="0.45">
      <c r="B27" s="2"/>
      <c r="C27" s="78"/>
      <c r="D27" s="78"/>
    </row>
    <row r="28" spans="1:5" x14ac:dyDescent="0.3">
      <c r="B28" s="27" t="s">
        <v>208</v>
      </c>
      <c r="C28" s="72"/>
      <c r="D28" s="72"/>
    </row>
    <row r="29" spans="1:5" x14ac:dyDescent="0.3">
      <c r="B29" t="s">
        <v>156</v>
      </c>
      <c r="D29" s="58">
        <v>366177.5</v>
      </c>
      <c r="E29" s="101">
        <v>366177.5</v>
      </c>
    </row>
    <row r="30" spans="1:5" x14ac:dyDescent="0.3">
      <c r="B30" t="s">
        <v>157</v>
      </c>
      <c r="D30" s="58">
        <v>5684.6499999999069</v>
      </c>
      <c r="E30" s="101">
        <v>5684.6499999999069</v>
      </c>
    </row>
    <row r="31" spans="1:5" x14ac:dyDescent="0.3">
      <c r="B31" t="s">
        <v>158</v>
      </c>
      <c r="D31" s="58">
        <v>72857.879999999888</v>
      </c>
      <c r="E31" s="101">
        <v>978089</v>
      </c>
    </row>
    <row r="32" spans="1:5" x14ac:dyDescent="0.3">
      <c r="B32" t="s">
        <v>178</v>
      </c>
      <c r="D32" s="58">
        <v>1449614.4800000004</v>
      </c>
      <c r="E32" s="109">
        <v>490015.0299999998</v>
      </c>
    </row>
    <row r="33" spans="2:5" x14ac:dyDescent="0.3">
      <c r="B33" t="s">
        <v>182</v>
      </c>
      <c r="D33" s="58">
        <v>112.51000000163913</v>
      </c>
    </row>
    <row r="34" spans="2:5" x14ac:dyDescent="0.3">
      <c r="B34" t="s">
        <v>163</v>
      </c>
      <c r="D34" s="58">
        <v>254671.6799999848</v>
      </c>
    </row>
    <row r="35" spans="2:5" x14ac:dyDescent="0.3">
      <c r="B35" t="s">
        <v>184</v>
      </c>
      <c r="D35" s="58">
        <v>498235.0100000035</v>
      </c>
      <c r="E35" s="101">
        <v>104181.41000000201</v>
      </c>
    </row>
    <row r="36" spans="2:5" x14ac:dyDescent="0.3">
      <c r="B36" t="s">
        <v>186</v>
      </c>
      <c r="D36" s="58">
        <v>11832.279999999912</v>
      </c>
    </row>
    <row r="37" spans="2:5" x14ac:dyDescent="0.3">
      <c r="B37" t="s">
        <v>188</v>
      </c>
      <c r="D37" s="58">
        <v>16989.659999997355</v>
      </c>
      <c r="E37" s="101">
        <v>16989.659999997355</v>
      </c>
    </row>
    <row r="38" spans="2:5" x14ac:dyDescent="0.3">
      <c r="B38" t="s">
        <v>191</v>
      </c>
      <c r="D38" s="58">
        <v>59870.839999999851</v>
      </c>
      <c r="E38" s="101">
        <v>54914.839999999851</v>
      </c>
    </row>
    <row r="39" spans="2:5" x14ac:dyDescent="0.3">
      <c r="B39" t="s">
        <v>353</v>
      </c>
      <c r="D39" s="58">
        <v>190659.45000000019</v>
      </c>
    </row>
    <row r="40" spans="2:5" x14ac:dyDescent="0.3">
      <c r="B40" t="s">
        <v>197</v>
      </c>
      <c r="D40" s="58">
        <v>19800.469999995083</v>
      </c>
    </row>
    <row r="41" spans="2:5" x14ac:dyDescent="0.3">
      <c r="B41" t="s">
        <v>168</v>
      </c>
      <c r="D41" s="58">
        <v>77088.609999997541</v>
      </c>
      <c r="E41" s="101">
        <v>509903.7399999965</v>
      </c>
    </row>
    <row r="42" spans="2:5" x14ac:dyDescent="0.3">
      <c r="B42" t="s">
        <v>199</v>
      </c>
      <c r="D42" s="58">
        <v>2391778.2299999967</v>
      </c>
    </row>
    <row r="43" spans="2:5" x14ac:dyDescent="0.3">
      <c r="B43" t="s">
        <v>201</v>
      </c>
      <c r="D43" s="58">
        <v>16205.729999998584</v>
      </c>
      <c r="E43" s="101">
        <v>15184039.290000001</v>
      </c>
    </row>
    <row r="44" spans="2:5" x14ac:dyDescent="0.3">
      <c r="B44" t="s">
        <v>169</v>
      </c>
      <c r="D44" s="58">
        <v>20343.75</v>
      </c>
      <c r="E44" s="101">
        <v>20343.75</v>
      </c>
    </row>
    <row r="45" spans="2:5" x14ac:dyDescent="0.3">
      <c r="B45" t="s">
        <v>204</v>
      </c>
      <c r="D45" s="58">
        <v>51504.940000001341</v>
      </c>
    </row>
    <row r="46" spans="2:5" ht="16.2" x14ac:dyDescent="0.45">
      <c r="B46" s="39" t="s">
        <v>160</v>
      </c>
      <c r="D46" s="74"/>
      <c r="E46" s="101">
        <v>294827</v>
      </c>
    </row>
    <row r="47" spans="2:5" ht="16.2" x14ac:dyDescent="0.45">
      <c r="B47" s="39" t="s">
        <v>161</v>
      </c>
      <c r="D47" s="74"/>
      <c r="E47" s="101">
        <v>436.18999999947846</v>
      </c>
    </row>
    <row r="48" spans="2:5" ht="16.2" x14ac:dyDescent="0.45">
      <c r="B48" s="39" t="s">
        <v>164</v>
      </c>
      <c r="D48" s="74"/>
      <c r="E48" s="101">
        <v>328646.60000000149</v>
      </c>
    </row>
    <row r="49" spans="1:5" x14ac:dyDescent="0.3">
      <c r="B49" s="39" t="s">
        <v>396</v>
      </c>
      <c r="D49" s="82"/>
      <c r="E49" s="101">
        <v>360.46099988091737</v>
      </c>
    </row>
    <row r="50" spans="1:5" ht="16.2" x14ac:dyDescent="0.45">
      <c r="D50" s="78">
        <f>SUM(D29:D45)</f>
        <v>5503427.6699999766</v>
      </c>
      <c r="E50" s="108">
        <f>SUM(E29:E49)</f>
        <v>18354609.120999876</v>
      </c>
    </row>
    <row r="51" spans="1:5" ht="16.2" x14ac:dyDescent="0.45">
      <c r="A51" s="2"/>
      <c r="B51" s="2" t="s">
        <v>209</v>
      </c>
      <c r="D51" s="79"/>
    </row>
    <row r="52" spans="1:5" ht="16.2" x14ac:dyDescent="0.45">
      <c r="A52" s="2"/>
      <c r="B52" t="s">
        <v>34</v>
      </c>
      <c r="D52" s="78">
        <v>139</v>
      </c>
      <c r="E52" s="107">
        <v>139</v>
      </c>
    </row>
    <row r="53" spans="1:5" x14ac:dyDescent="0.3">
      <c r="B53" s="3" t="s">
        <v>210</v>
      </c>
    </row>
    <row r="54" spans="1:5" x14ac:dyDescent="0.3">
      <c r="B54" s="41" t="s">
        <v>286</v>
      </c>
      <c r="D54" s="58">
        <v>174914498.95999998</v>
      </c>
      <c r="E54" s="101">
        <v>126985997.23</v>
      </c>
    </row>
    <row r="55" spans="1:5" ht="15.6" x14ac:dyDescent="0.3">
      <c r="B55" s="40" t="s">
        <v>46</v>
      </c>
      <c r="C55" s="80"/>
      <c r="D55" s="73">
        <v>3050987.38</v>
      </c>
      <c r="E55" s="101">
        <v>237180.1</v>
      </c>
    </row>
    <row r="56" spans="1:5" ht="15.6" x14ac:dyDescent="0.3">
      <c r="B56" s="4" t="s">
        <v>47</v>
      </c>
      <c r="C56" s="13"/>
      <c r="D56" s="11">
        <v>73798.3</v>
      </c>
    </row>
    <row r="57" spans="1:5" ht="15.6" x14ac:dyDescent="0.3">
      <c r="B57" s="40" t="s">
        <v>282</v>
      </c>
      <c r="D57" s="73">
        <v>801126.88</v>
      </c>
      <c r="E57" s="101">
        <v>801126.88</v>
      </c>
    </row>
    <row r="58" spans="1:5" ht="15.6" x14ac:dyDescent="0.3">
      <c r="B58" s="40" t="s">
        <v>48</v>
      </c>
      <c r="D58" s="73">
        <v>92816</v>
      </c>
      <c r="E58" s="101">
        <v>92816</v>
      </c>
    </row>
    <row r="59" spans="1:5" ht="15.6" x14ac:dyDescent="0.3">
      <c r="B59" t="s">
        <v>356</v>
      </c>
      <c r="D59" s="73">
        <v>344836477.69000006</v>
      </c>
      <c r="E59" s="101">
        <v>708477.69</v>
      </c>
    </row>
    <row r="60" spans="1:5" ht="15.6" x14ac:dyDescent="0.3">
      <c r="B60" s="40" t="s">
        <v>374</v>
      </c>
      <c r="D60" s="73">
        <v>822255.56</v>
      </c>
      <c r="E60" s="101">
        <v>631347.48</v>
      </c>
    </row>
    <row r="61" spans="1:5" ht="15.6" x14ac:dyDescent="0.3">
      <c r="B61" s="40" t="s">
        <v>284</v>
      </c>
      <c r="D61" s="73">
        <v>163919874.54000002</v>
      </c>
      <c r="E61" s="101">
        <v>1545213.38</v>
      </c>
    </row>
    <row r="62" spans="1:5" ht="15.6" x14ac:dyDescent="0.3">
      <c r="B62" s="40" t="s">
        <v>285</v>
      </c>
      <c r="D62" s="73">
        <v>70231.81</v>
      </c>
      <c r="E62" s="100">
        <v>70231.81</v>
      </c>
    </row>
    <row r="63" spans="1:5" ht="15.6" x14ac:dyDescent="0.3">
      <c r="B63" s="40" t="s">
        <v>50</v>
      </c>
      <c r="D63" s="73">
        <v>905335.91</v>
      </c>
      <c r="E63" s="100">
        <v>895385.91</v>
      </c>
    </row>
    <row r="64" spans="1:5" ht="15.6" x14ac:dyDescent="0.3">
      <c r="B64" s="40" t="s">
        <v>297</v>
      </c>
      <c r="D64" s="73">
        <v>10275340.810000001</v>
      </c>
    </row>
    <row r="65" spans="2:5" ht="17.399999999999999" x14ac:dyDescent="0.45">
      <c r="B65" s="40" t="s">
        <v>51</v>
      </c>
      <c r="D65" s="81">
        <v>198771</v>
      </c>
      <c r="E65" s="110">
        <v>641997.55000000005</v>
      </c>
    </row>
    <row r="66" spans="2:5" ht="16.2" x14ac:dyDescent="0.45">
      <c r="D66" s="78">
        <f>SUM(D54:D65)</f>
        <v>699961514.83999991</v>
      </c>
      <c r="E66" s="107">
        <f>SUM(E54:E65)</f>
        <v>132609774.02999999</v>
      </c>
    </row>
    <row r="67" spans="2:5" x14ac:dyDescent="0.3">
      <c r="B67" s="2" t="s">
        <v>375</v>
      </c>
      <c r="D67" s="72"/>
    </row>
    <row r="68" spans="2:5" ht="17.399999999999999" x14ac:dyDescent="0.45">
      <c r="B68" t="s">
        <v>106</v>
      </c>
      <c r="C68" s="74"/>
      <c r="D68" s="73">
        <v>46391560.799999997</v>
      </c>
      <c r="E68" s="101">
        <v>57989451</v>
      </c>
    </row>
    <row r="69" spans="2:5" ht="16.2" x14ac:dyDescent="0.45">
      <c r="B69" t="s">
        <v>376</v>
      </c>
      <c r="D69" s="74">
        <v>-11597890.199999999</v>
      </c>
      <c r="E69" s="106">
        <v>-11597890.199999999</v>
      </c>
    </row>
    <row r="70" spans="2:5" ht="16.2" x14ac:dyDescent="0.45">
      <c r="D70" s="78">
        <f>SUM(D68:D69)</f>
        <v>34793670.599999994</v>
      </c>
      <c r="E70" s="108">
        <v>46391560.799999997</v>
      </c>
    </row>
    <row r="71" spans="2:5" x14ac:dyDescent="0.3">
      <c r="B71" s="2" t="s">
        <v>217</v>
      </c>
      <c r="C71" s="70"/>
      <c r="D71" s="70"/>
    </row>
    <row r="72" spans="2:5" x14ac:dyDescent="0.3">
      <c r="B72" t="s">
        <v>54</v>
      </c>
      <c r="D72" s="58">
        <v>44000</v>
      </c>
      <c r="E72" s="101">
        <v>44000</v>
      </c>
    </row>
    <row r="73" spans="2:5" x14ac:dyDescent="0.3">
      <c r="B73" t="s">
        <v>55</v>
      </c>
      <c r="D73" s="58">
        <v>44000</v>
      </c>
      <c r="E73" s="101">
        <v>44000</v>
      </c>
    </row>
    <row r="74" spans="2:5" x14ac:dyDescent="0.3">
      <c r="B74" t="s">
        <v>56</v>
      </c>
      <c r="D74" s="58">
        <v>17000</v>
      </c>
      <c r="E74" s="101">
        <v>17000</v>
      </c>
    </row>
    <row r="75" spans="2:5" x14ac:dyDescent="0.3">
      <c r="B75" t="s">
        <v>57</v>
      </c>
      <c r="D75" s="58">
        <v>27000</v>
      </c>
      <c r="E75" s="101">
        <v>27000</v>
      </c>
    </row>
    <row r="76" spans="2:5" x14ac:dyDescent="0.3">
      <c r="B76" t="s">
        <v>58</v>
      </c>
      <c r="D76" s="58">
        <v>40350</v>
      </c>
      <c r="E76" s="101">
        <v>40350</v>
      </c>
    </row>
    <row r="77" spans="2:5" ht="16.2" x14ac:dyDescent="0.45">
      <c r="B77" t="s">
        <v>40</v>
      </c>
      <c r="D77" s="74">
        <v>6864</v>
      </c>
      <c r="E77" s="106">
        <v>6864</v>
      </c>
    </row>
    <row r="78" spans="2:5" ht="16.2" x14ac:dyDescent="0.45">
      <c r="D78" s="78">
        <f>SUM(D72:D77)</f>
        <v>179214</v>
      </c>
      <c r="E78" s="108">
        <f>SUM(E72:E77)</f>
        <v>179214</v>
      </c>
    </row>
    <row r="79" spans="2:5" x14ac:dyDescent="0.3">
      <c r="B79" s="2" t="s">
        <v>225</v>
      </c>
      <c r="D79" s="72"/>
    </row>
    <row r="80" spans="2:5" x14ac:dyDescent="0.3">
      <c r="B80" t="s">
        <v>170</v>
      </c>
      <c r="D80" s="1">
        <v>273.00000000372529</v>
      </c>
      <c r="E80" s="109">
        <v>966966.53000000864</v>
      </c>
    </row>
    <row r="81" spans="2:5" x14ac:dyDescent="0.3">
      <c r="B81" t="s">
        <v>171</v>
      </c>
      <c r="D81" s="58">
        <v>971200.19999999925</v>
      </c>
      <c r="E81" s="109">
        <v>864720.34999999031</v>
      </c>
    </row>
    <row r="82" spans="2:5" x14ac:dyDescent="0.3">
      <c r="B82" t="s">
        <v>172</v>
      </c>
      <c r="D82" s="58">
        <v>128959.07999999821</v>
      </c>
      <c r="E82" s="109">
        <v>129560.12999999896</v>
      </c>
    </row>
    <row r="83" spans="2:5" x14ac:dyDescent="0.3">
      <c r="B83" t="s">
        <v>173</v>
      </c>
      <c r="D83" s="58">
        <v>104.83999999985099</v>
      </c>
      <c r="E83" s="109">
        <v>75244.14999999851</v>
      </c>
    </row>
    <row r="84" spans="2:5" x14ac:dyDescent="0.3">
      <c r="B84" t="s">
        <v>155</v>
      </c>
      <c r="D84" s="58">
        <v>561722.99000000022</v>
      </c>
      <c r="E84" s="109">
        <v>561722.99000000022</v>
      </c>
    </row>
    <row r="85" spans="2:5" x14ac:dyDescent="0.3">
      <c r="B85" t="s">
        <v>390</v>
      </c>
      <c r="D85" s="58">
        <v>195571.80000000002</v>
      </c>
      <c r="E85" s="109">
        <v>195571.80000000002</v>
      </c>
    </row>
    <row r="86" spans="2:5" x14ac:dyDescent="0.3">
      <c r="B86" t="s">
        <v>174</v>
      </c>
      <c r="D86" s="58">
        <v>489316.83999999799</v>
      </c>
      <c r="E86" s="109">
        <v>197812.69000000134</v>
      </c>
    </row>
    <row r="87" spans="2:5" x14ac:dyDescent="0.3">
      <c r="B87" t="s">
        <v>175</v>
      </c>
      <c r="D87" s="58">
        <v>5785.5200000032783</v>
      </c>
      <c r="E87" s="109">
        <v>5785.5200000032783</v>
      </c>
    </row>
    <row r="88" spans="2:5" x14ac:dyDescent="0.3">
      <c r="B88" t="s">
        <v>176</v>
      </c>
      <c r="D88" s="58">
        <v>748124.48000000021</v>
      </c>
      <c r="E88" s="109">
        <v>748124.48000000021</v>
      </c>
    </row>
    <row r="89" spans="2:5" x14ac:dyDescent="0.3">
      <c r="B89" t="s">
        <v>177</v>
      </c>
      <c r="D89" s="58">
        <v>78773.960000000894</v>
      </c>
      <c r="E89" s="109">
        <v>76963.169999999925</v>
      </c>
    </row>
    <row r="90" spans="2:5" x14ac:dyDescent="0.3">
      <c r="B90" t="s">
        <v>159</v>
      </c>
      <c r="D90" s="58">
        <v>30.25</v>
      </c>
      <c r="E90" s="109">
        <v>30.25</v>
      </c>
    </row>
    <row r="91" spans="2:5" x14ac:dyDescent="0.3">
      <c r="B91" t="s">
        <v>179</v>
      </c>
      <c r="D91" s="58">
        <v>194296.84999999974</v>
      </c>
      <c r="E91" s="109">
        <v>23.299999999813735</v>
      </c>
    </row>
    <row r="92" spans="2:5" x14ac:dyDescent="0.3">
      <c r="B92" t="s">
        <v>160</v>
      </c>
      <c r="D92" s="58">
        <v>1705433</v>
      </c>
    </row>
    <row r="93" spans="2:5" x14ac:dyDescent="0.3">
      <c r="B93" t="s">
        <v>161</v>
      </c>
      <c r="D93" s="58">
        <v>758.98000000044703</v>
      </c>
    </row>
    <row r="94" spans="2:5" x14ac:dyDescent="0.3">
      <c r="B94" t="s">
        <v>162</v>
      </c>
      <c r="D94" s="58">
        <v>749866.08999999985</v>
      </c>
      <c r="E94" s="101">
        <v>1648647.5499999998</v>
      </c>
    </row>
    <row r="95" spans="2:5" x14ac:dyDescent="0.3">
      <c r="B95" t="s">
        <v>180</v>
      </c>
      <c r="D95" s="58">
        <v>1066070.46</v>
      </c>
      <c r="E95" s="101">
        <v>1066070.46</v>
      </c>
    </row>
    <row r="96" spans="2:5" x14ac:dyDescent="0.3">
      <c r="B96" t="s">
        <v>181</v>
      </c>
      <c r="D96" s="58">
        <v>8779723.5600000005</v>
      </c>
      <c r="E96" s="109">
        <v>8467897.6600000001</v>
      </c>
    </row>
    <row r="97" spans="2:5" x14ac:dyDescent="0.3">
      <c r="B97" t="s">
        <v>183</v>
      </c>
      <c r="D97" s="58">
        <v>227639.95000000298</v>
      </c>
      <c r="E97" s="101">
        <v>2586878.0200000023</v>
      </c>
    </row>
    <row r="98" spans="2:5" x14ac:dyDescent="0.3">
      <c r="B98" t="s">
        <v>185</v>
      </c>
      <c r="D98" s="58">
        <v>271908.21000000089</v>
      </c>
      <c r="E98" s="101">
        <v>20000</v>
      </c>
    </row>
    <row r="99" spans="2:5" x14ac:dyDescent="0.3">
      <c r="B99" t="s">
        <v>164</v>
      </c>
      <c r="D99" s="58">
        <v>1802850.8599999975</v>
      </c>
      <c r="E99" s="109"/>
    </row>
    <row r="100" spans="2:5" x14ac:dyDescent="0.3">
      <c r="B100" t="s">
        <v>165</v>
      </c>
      <c r="D100" s="58">
        <v>1362797.2799999975</v>
      </c>
      <c r="E100" s="101">
        <v>3760908.5500000003</v>
      </c>
    </row>
    <row r="101" spans="2:5" x14ac:dyDescent="0.3">
      <c r="B101" t="s">
        <v>187</v>
      </c>
      <c r="D101" s="58">
        <v>3396264.17</v>
      </c>
      <c r="E101" s="101">
        <v>396264.16999999993</v>
      </c>
    </row>
    <row r="102" spans="2:5" x14ac:dyDescent="0.3">
      <c r="B102" t="s">
        <v>189</v>
      </c>
      <c r="D102" s="58">
        <v>104185.14000000013</v>
      </c>
      <c r="E102" s="101">
        <v>2544086.44</v>
      </c>
    </row>
    <row r="103" spans="2:5" x14ac:dyDescent="0.3">
      <c r="B103" t="s">
        <v>190</v>
      </c>
      <c r="D103" s="58">
        <v>44148.729999998584</v>
      </c>
      <c r="E103" s="101">
        <v>2870180.7399999993</v>
      </c>
    </row>
    <row r="104" spans="2:5" x14ac:dyDescent="0.3">
      <c r="B104" t="s">
        <v>166</v>
      </c>
      <c r="D104" s="58">
        <v>8614.8700000010431</v>
      </c>
      <c r="E104" s="101">
        <v>8615.3700000010431</v>
      </c>
    </row>
    <row r="105" spans="2:5" x14ac:dyDescent="0.3">
      <c r="B105" t="s">
        <v>192</v>
      </c>
      <c r="D105" s="58">
        <v>991415.54000000027</v>
      </c>
      <c r="E105" s="101">
        <v>10415.54000000027</v>
      </c>
    </row>
    <row r="106" spans="2:5" x14ac:dyDescent="0.3">
      <c r="B106" t="s">
        <v>193</v>
      </c>
      <c r="D106" s="58">
        <v>570569.59999999986</v>
      </c>
      <c r="E106" s="101">
        <v>570569.59999999986</v>
      </c>
    </row>
    <row r="107" spans="2:5" x14ac:dyDescent="0.3">
      <c r="B107" t="s">
        <v>194</v>
      </c>
      <c r="D107" s="58">
        <v>76707.3</v>
      </c>
      <c r="E107" s="101">
        <v>76707.300000000279</v>
      </c>
    </row>
    <row r="108" spans="2:5" x14ac:dyDescent="0.3">
      <c r="B108" t="s">
        <v>195</v>
      </c>
      <c r="D108" s="58">
        <v>437577.49000000022</v>
      </c>
      <c r="E108" s="101">
        <v>171100.5700000003</v>
      </c>
    </row>
    <row r="109" spans="2:5" x14ac:dyDescent="0.3">
      <c r="B109" t="s">
        <v>167</v>
      </c>
      <c r="D109" s="58">
        <v>84148.619000119157</v>
      </c>
      <c r="E109" s="109"/>
    </row>
    <row r="110" spans="2:5" x14ac:dyDescent="0.3">
      <c r="B110" t="s">
        <v>196</v>
      </c>
      <c r="D110" s="58">
        <v>17905.550000002608</v>
      </c>
      <c r="E110" s="101">
        <v>694919.53000000119</v>
      </c>
    </row>
    <row r="111" spans="2:5" x14ac:dyDescent="0.3">
      <c r="B111" t="s">
        <v>198</v>
      </c>
      <c r="D111" s="58">
        <v>74461.159999998286</v>
      </c>
      <c r="E111" s="101">
        <v>1744774.1700000004</v>
      </c>
    </row>
    <row r="112" spans="2:5" x14ac:dyDescent="0.3">
      <c r="B112" t="s">
        <v>200</v>
      </c>
      <c r="D112" s="58">
        <v>806124.69999999984</v>
      </c>
      <c r="E112" s="101">
        <v>806124.69999999984</v>
      </c>
    </row>
    <row r="113" spans="2:8" x14ac:dyDescent="0.3">
      <c r="B113" t="s">
        <v>202</v>
      </c>
      <c r="D113" s="58">
        <v>1432506.8</v>
      </c>
      <c r="E113" s="101">
        <v>1432506.8</v>
      </c>
    </row>
    <row r="114" spans="2:8" x14ac:dyDescent="0.3">
      <c r="B114" t="s">
        <v>203</v>
      </c>
      <c r="D114" s="58">
        <v>72809</v>
      </c>
      <c r="E114" s="101">
        <v>383</v>
      </c>
    </row>
    <row r="115" spans="2:8" x14ac:dyDescent="0.3">
      <c r="B115" t="s">
        <v>205</v>
      </c>
      <c r="D115" s="58">
        <v>528330.03000000026</v>
      </c>
      <c r="E115" s="101">
        <v>984191.38</v>
      </c>
    </row>
    <row r="116" spans="2:8" x14ac:dyDescent="0.3">
      <c r="B116" t="s">
        <v>206</v>
      </c>
      <c r="D116" s="58">
        <v>1973946.9</v>
      </c>
      <c r="E116" s="101">
        <v>4176018</v>
      </c>
    </row>
    <row r="117" spans="2:8" x14ac:dyDescent="0.3">
      <c r="B117" t="s">
        <v>207</v>
      </c>
      <c r="D117" s="58">
        <v>5.2999999999883585</v>
      </c>
      <c r="E117" s="109">
        <v>5.2999999999883585</v>
      </c>
    </row>
    <row r="118" spans="2:8" x14ac:dyDescent="0.3">
      <c r="B118" t="s">
        <v>182</v>
      </c>
      <c r="E118" s="101">
        <v>1742970.0699999989</v>
      </c>
    </row>
    <row r="119" spans="2:8" x14ac:dyDescent="0.3">
      <c r="B119" t="s">
        <v>163</v>
      </c>
      <c r="E119" s="101">
        <v>540.16000000014901</v>
      </c>
    </row>
    <row r="120" spans="2:8" ht="16.2" x14ac:dyDescent="0.45">
      <c r="B120" t="s">
        <v>186</v>
      </c>
      <c r="D120" s="74"/>
      <c r="E120" s="109">
        <v>586954.20000000007</v>
      </c>
    </row>
    <row r="121" spans="2:8" ht="16.2" x14ac:dyDescent="0.45">
      <c r="B121" t="s">
        <v>197</v>
      </c>
      <c r="D121" s="74"/>
      <c r="E121" s="109">
        <v>78445.070000002161</v>
      </c>
    </row>
    <row r="122" spans="2:8" ht="16.2" x14ac:dyDescent="0.45">
      <c r="B122" t="s">
        <v>204</v>
      </c>
      <c r="D122" s="74"/>
      <c r="E122" s="109">
        <v>179549.95999999903</v>
      </c>
    </row>
    <row r="123" spans="2:8" x14ac:dyDescent="0.3">
      <c r="B123" t="s">
        <v>199</v>
      </c>
      <c r="E123" s="109">
        <v>708939.59000000264</v>
      </c>
    </row>
    <row r="124" spans="2:8" ht="16.2" x14ac:dyDescent="0.45">
      <c r="B124" t="s">
        <v>355</v>
      </c>
      <c r="D124" s="74">
        <v>1277004.24</v>
      </c>
      <c r="E124" s="111">
        <v>181442.75</v>
      </c>
    </row>
    <row r="125" spans="2:8" ht="16.2" x14ac:dyDescent="0.45">
      <c r="D125" s="78">
        <f>SUM(D80:D124)</f>
        <v>31237933.339000121</v>
      </c>
      <c r="E125" s="108">
        <f>SUM(E80:E124)</f>
        <v>41338632.01000002</v>
      </c>
    </row>
    <row r="126" spans="2:8" ht="16.2" x14ac:dyDescent="0.45">
      <c r="B126" s="2" t="s">
        <v>226</v>
      </c>
      <c r="E126" s="107"/>
      <c r="H126" t="s">
        <v>401</v>
      </c>
    </row>
    <row r="127" spans="2:8" x14ac:dyDescent="0.3">
      <c r="B127" s="35" t="s">
        <v>231</v>
      </c>
      <c r="D127" s="58">
        <v>120515.75</v>
      </c>
      <c r="E127" s="101">
        <v>120515.75</v>
      </c>
    </row>
    <row r="128" spans="2:8" x14ac:dyDescent="0.3">
      <c r="B128" s="35" t="s">
        <v>231</v>
      </c>
      <c r="D128" s="58">
        <v>60927</v>
      </c>
      <c r="E128" s="101">
        <v>60927</v>
      </c>
    </row>
    <row r="129" spans="1:5" x14ac:dyDescent="0.3">
      <c r="B129" s="35" t="s">
        <v>324</v>
      </c>
      <c r="D129" s="58">
        <v>4640</v>
      </c>
    </row>
    <row r="130" spans="1:5" x14ac:dyDescent="0.3">
      <c r="B130" s="35" t="s">
        <v>325</v>
      </c>
      <c r="D130" s="58">
        <v>30000</v>
      </c>
    </row>
    <row r="131" spans="1:5" x14ac:dyDescent="0.3">
      <c r="B131" s="35" t="s">
        <v>333</v>
      </c>
      <c r="D131" s="58">
        <v>1005921.49</v>
      </c>
    </row>
    <row r="132" spans="1:5" x14ac:dyDescent="0.3">
      <c r="B132" s="35" t="s">
        <v>345</v>
      </c>
      <c r="D132" s="58">
        <v>20000</v>
      </c>
    </row>
    <row r="133" spans="1:5" x14ac:dyDescent="0.3">
      <c r="B133" s="35" t="s">
        <v>346</v>
      </c>
      <c r="D133" s="58">
        <v>25000</v>
      </c>
    </row>
    <row r="134" spans="1:5" ht="16.2" x14ac:dyDescent="0.45">
      <c r="B134" s="35" t="s">
        <v>334</v>
      </c>
      <c r="D134" s="74">
        <v>10000</v>
      </c>
    </row>
    <row r="135" spans="1:5" ht="16.2" x14ac:dyDescent="0.45">
      <c r="B135" s="35"/>
      <c r="D135" s="78">
        <f>SUM(D127:D134)</f>
        <v>1277004.24</v>
      </c>
      <c r="E135" s="107">
        <f>SUM(E127:E134)</f>
        <v>181442.75</v>
      </c>
    </row>
    <row r="136" spans="1:5" x14ac:dyDescent="0.3">
      <c r="B136" s="2" t="s">
        <v>227</v>
      </c>
      <c r="D136" s="83" t="s">
        <v>215</v>
      </c>
    </row>
    <row r="137" spans="1:5" x14ac:dyDescent="0.3">
      <c r="B137" t="s">
        <v>59</v>
      </c>
      <c r="D137" s="58">
        <v>5172390584.4099998</v>
      </c>
      <c r="E137" s="101">
        <v>4927656579.2154007</v>
      </c>
    </row>
    <row r="138" spans="1:5" x14ac:dyDescent="0.3">
      <c r="B138" t="s">
        <v>60</v>
      </c>
      <c r="C138" s="58">
        <v>420934008</v>
      </c>
    </row>
    <row r="139" spans="1:5" x14ac:dyDescent="0.3">
      <c r="B139" t="s">
        <v>254</v>
      </c>
      <c r="C139" s="58">
        <v>341186152.49000007</v>
      </c>
      <c r="D139" s="58">
        <v>79747856</v>
      </c>
      <c r="E139" s="101">
        <v>86269421.660000026</v>
      </c>
    </row>
    <row r="140" spans="1:5" ht="29.25" customHeight="1" x14ac:dyDescent="0.35">
      <c r="A140" s="19"/>
      <c r="B140" s="38" t="s">
        <v>315</v>
      </c>
      <c r="D140" s="84">
        <v>9364813006.2759991</v>
      </c>
    </row>
    <row r="141" spans="1:5" ht="18" x14ac:dyDescent="0.35">
      <c r="A141" s="19"/>
      <c r="B141" s="38" t="s">
        <v>377</v>
      </c>
      <c r="D141" s="84">
        <v>1738083.04</v>
      </c>
    </row>
    <row r="142" spans="1:5" ht="16.2" x14ac:dyDescent="0.45">
      <c r="B142" t="s">
        <v>142</v>
      </c>
      <c r="D142" s="74">
        <f>'Income Statement'!D22</f>
        <v>259076623.96000004</v>
      </c>
      <c r="E142" s="112">
        <v>158464583.53000003</v>
      </c>
    </row>
    <row r="143" spans="1:5" ht="16.2" x14ac:dyDescent="0.45">
      <c r="D143" s="78">
        <v>14877766153</v>
      </c>
      <c r="E143" s="108">
        <v>5172390584.4054003</v>
      </c>
    </row>
    <row r="144" spans="1:5" x14ac:dyDescent="0.3">
      <c r="B144" s="2" t="s">
        <v>316</v>
      </c>
      <c r="D144" s="72"/>
      <c r="E144" s="104"/>
    </row>
    <row r="145" spans="2:5" x14ac:dyDescent="0.3">
      <c r="B145" t="s">
        <v>255</v>
      </c>
      <c r="C145" s="58">
        <v>312039293.19000006</v>
      </c>
      <c r="D145" s="72"/>
      <c r="E145" s="101">
        <v>258831933.72999999</v>
      </c>
    </row>
    <row r="146" spans="2:5" ht="16.2" x14ac:dyDescent="0.45">
      <c r="B146" t="s">
        <v>256</v>
      </c>
      <c r="C146" s="74">
        <v>29146859.299999997</v>
      </c>
      <c r="D146" s="72"/>
      <c r="E146" s="106">
        <v>30162832.399999999</v>
      </c>
    </row>
    <row r="147" spans="2:5" ht="16.2" x14ac:dyDescent="0.45">
      <c r="C147" s="78">
        <f>SUM(C145:C146)</f>
        <v>341186152.49000007</v>
      </c>
      <c r="D147" s="72"/>
      <c r="E147" s="108">
        <v>288994766.13</v>
      </c>
    </row>
    <row r="148" spans="2:5" ht="16.2" x14ac:dyDescent="0.45">
      <c r="C148" s="78"/>
      <c r="D148" s="72"/>
      <c r="E148" s="108"/>
    </row>
    <row r="149" spans="2:5" ht="16.2" x14ac:dyDescent="0.45">
      <c r="C149" s="78"/>
      <c r="D149" s="72"/>
      <c r="E149" s="108"/>
    </row>
    <row r="150" spans="2:5" ht="16.2" x14ac:dyDescent="0.45">
      <c r="C150" s="78"/>
      <c r="D150" s="72"/>
      <c r="E150" s="108"/>
    </row>
    <row r="151" spans="2:5" ht="16.2" x14ac:dyDescent="0.45">
      <c r="C151" s="78"/>
      <c r="D151" s="72"/>
      <c r="E151" s="108"/>
    </row>
    <row r="152" spans="2:5" s="4" customFormat="1" ht="17.399999999999999" x14ac:dyDescent="0.45">
      <c r="B152" s="6" t="s">
        <v>260</v>
      </c>
      <c r="C152" s="86"/>
      <c r="D152" s="86"/>
      <c r="E152" s="113"/>
    </row>
    <row r="153" spans="2:5" s="4" customFormat="1" ht="17.399999999999999" x14ac:dyDescent="0.45">
      <c r="B153" s="6" t="s">
        <v>244</v>
      </c>
      <c r="C153" s="73" t="s">
        <v>245</v>
      </c>
      <c r="D153" s="73" t="s">
        <v>246</v>
      </c>
      <c r="E153" s="113"/>
    </row>
    <row r="154" spans="2:5" s="4" customFormat="1" ht="15.6" x14ac:dyDescent="0.3">
      <c r="B154" s="4" t="s">
        <v>343</v>
      </c>
      <c r="C154" s="42">
        <v>32866.269999999997</v>
      </c>
      <c r="D154" s="73">
        <f>C154*1939</f>
        <v>63727697.529999994</v>
      </c>
      <c r="E154" s="100">
        <v>39558041.280000001</v>
      </c>
    </row>
    <row r="155" spans="2:5" s="4" customFormat="1" ht="15.6" x14ac:dyDescent="0.3">
      <c r="B155" s="4" t="s">
        <v>342</v>
      </c>
      <c r="C155" s="42">
        <v>25047.709999999992</v>
      </c>
      <c r="D155" s="100">
        <f>C155*1939</f>
        <v>48567509.689999983</v>
      </c>
      <c r="E155" s="100">
        <v>55903981.410000004</v>
      </c>
    </row>
    <row r="156" spans="2:5" s="4" customFormat="1" ht="15.6" x14ac:dyDescent="0.3">
      <c r="B156" s="4" t="s">
        <v>341</v>
      </c>
      <c r="C156" s="42">
        <v>21412.97</v>
      </c>
      <c r="D156" s="73">
        <f t="shared" ref="D156" si="0">C156*1939</f>
        <v>41519748.830000006</v>
      </c>
      <c r="E156" s="100">
        <v>43048854.719999999</v>
      </c>
    </row>
    <row r="157" spans="2:5" s="4" customFormat="1" ht="17.399999999999999" x14ac:dyDescent="0.45">
      <c r="B157" s="4" t="s">
        <v>340</v>
      </c>
      <c r="C157" s="97">
        <v>14057.32</v>
      </c>
      <c r="D157" s="81">
        <f>C157*1939</f>
        <v>27257143.48</v>
      </c>
      <c r="E157" s="110">
        <v>40852991.700000003</v>
      </c>
    </row>
    <row r="158" spans="2:5" s="6" customFormat="1" ht="17.399999999999999" x14ac:dyDescent="0.45">
      <c r="B158" s="6" t="s">
        <v>61</v>
      </c>
      <c r="C158" s="98">
        <f>SUM(C154:C157)</f>
        <v>93384.26999999999</v>
      </c>
      <c r="D158" s="88">
        <f>C158*1939</f>
        <v>181072099.52999997</v>
      </c>
      <c r="E158" s="114">
        <v>179363869.11000001</v>
      </c>
    </row>
    <row r="159" spans="2:5" s="4" customFormat="1" ht="15.6" x14ac:dyDescent="0.3">
      <c r="B159" s="6" t="s">
        <v>247</v>
      </c>
      <c r="C159" s="42"/>
      <c r="D159" s="73"/>
      <c r="E159" s="100"/>
    </row>
    <row r="160" spans="2:5" s="4" customFormat="1" ht="15.6" x14ac:dyDescent="0.3">
      <c r="B160" s="4" t="s">
        <v>343</v>
      </c>
      <c r="C160" s="42">
        <v>7866.36</v>
      </c>
      <c r="D160" s="73">
        <f>C160*1939</f>
        <v>15252872.039999999</v>
      </c>
      <c r="E160" s="101">
        <v>8436574.4399999995</v>
      </c>
    </row>
    <row r="161" spans="2:5" s="4" customFormat="1" ht="15.6" x14ac:dyDescent="0.3">
      <c r="B161" s="4" t="s">
        <v>342</v>
      </c>
      <c r="C161" s="42">
        <v>5832.4</v>
      </c>
      <c r="D161" s="73">
        <f>C161*1939</f>
        <v>11309023.6</v>
      </c>
      <c r="E161" s="101">
        <v>8570522.6100000013</v>
      </c>
    </row>
    <row r="162" spans="2:5" s="4" customFormat="1" ht="17.399999999999999" x14ac:dyDescent="0.45">
      <c r="B162" s="4" t="s">
        <v>357</v>
      </c>
      <c r="C162" s="97"/>
      <c r="D162" s="73"/>
      <c r="E162" s="100">
        <v>8542290.5099999998</v>
      </c>
    </row>
    <row r="163" spans="2:5" s="4" customFormat="1" ht="17.399999999999999" x14ac:dyDescent="0.45">
      <c r="B163" s="4" t="s">
        <v>358</v>
      </c>
      <c r="C163" s="99"/>
      <c r="D163" s="89"/>
      <c r="E163" s="110">
        <v>8570431.1699999999</v>
      </c>
    </row>
    <row r="164" spans="2:5" s="4" customFormat="1" ht="17.399999999999999" x14ac:dyDescent="0.45">
      <c r="B164" s="6" t="s">
        <v>61</v>
      </c>
      <c r="C164" s="98">
        <f>SUM(C160:C161)</f>
        <v>13698.759999999998</v>
      </c>
      <c r="D164" s="88">
        <f>SUM(D160:D161)</f>
        <v>26561895.640000001</v>
      </c>
      <c r="E164" s="115">
        <f>SUM(E160:E163)</f>
        <v>34119818.730000004</v>
      </c>
    </row>
    <row r="165" spans="2:5" s="4" customFormat="1" ht="15.6" x14ac:dyDescent="0.3">
      <c r="C165" s="91" t="s">
        <v>240</v>
      </c>
      <c r="D165" s="91"/>
      <c r="E165" s="100"/>
    </row>
    <row r="166" spans="2:5" s="4" customFormat="1" ht="15.6" x14ac:dyDescent="0.3">
      <c r="B166" s="4" t="s">
        <v>248</v>
      </c>
      <c r="C166" s="86"/>
      <c r="D166" s="58">
        <v>3178184179.8340001</v>
      </c>
      <c r="E166" s="100">
        <v>3032940129.454</v>
      </c>
    </row>
    <row r="167" spans="2:5" s="4" customFormat="1" ht="17.399999999999999" x14ac:dyDescent="0.45">
      <c r="B167" s="4" t="s">
        <v>241</v>
      </c>
      <c r="C167" s="86"/>
      <c r="D167" s="81">
        <v>181072099.52999997</v>
      </c>
      <c r="E167" s="110">
        <v>179363869.11000001</v>
      </c>
    </row>
    <row r="168" spans="2:5" s="4" customFormat="1" ht="15.6" x14ac:dyDescent="0.3">
      <c r="C168" s="86"/>
      <c r="D168" s="73">
        <f>SUM(D166:D167)</f>
        <v>3359256279.3640003</v>
      </c>
      <c r="E168" s="100">
        <v>3212303998.5640001</v>
      </c>
    </row>
    <row r="169" spans="2:5" s="4" customFormat="1" ht="17.399999999999999" x14ac:dyDescent="0.45">
      <c r="B169" s="4" t="s">
        <v>242</v>
      </c>
      <c r="C169" s="86"/>
      <c r="D169" s="81">
        <v>26561895.640000001</v>
      </c>
      <c r="E169" s="110">
        <v>34119818.730000004</v>
      </c>
    </row>
    <row r="170" spans="2:5" s="4" customFormat="1" ht="17.399999999999999" x14ac:dyDescent="0.45">
      <c r="C170" s="86"/>
      <c r="D170" s="86">
        <f>D168-D169</f>
        <v>3332694383.7240005</v>
      </c>
      <c r="E170" s="115">
        <v>3178184179.8340001</v>
      </c>
    </row>
    <row r="171" spans="2:5" s="4" customFormat="1" ht="15.6" x14ac:dyDescent="0.3">
      <c r="B171" s="4" t="s">
        <v>319</v>
      </c>
      <c r="C171" s="73">
        <v>2500000</v>
      </c>
      <c r="D171" s="73">
        <f>C171*1924.63</f>
        <v>4811575000</v>
      </c>
      <c r="E171" s="100"/>
    </row>
    <row r="172" spans="2:5" s="4" customFormat="1" ht="15.6" x14ac:dyDescent="0.3">
      <c r="C172" s="73"/>
      <c r="D172" s="73">
        <f>D170-D171</f>
        <v>-1478880616.2759995</v>
      </c>
      <c r="E172" s="100"/>
    </row>
    <row r="173" spans="2:5" s="4" customFormat="1" ht="17.399999999999999" x14ac:dyDescent="0.45">
      <c r="B173" s="4" t="s">
        <v>344</v>
      </c>
      <c r="C173" s="73">
        <v>4067010</v>
      </c>
      <c r="D173" s="81">
        <f>C173*1939</f>
        <v>7885932390</v>
      </c>
      <c r="E173" s="100"/>
    </row>
    <row r="174" spans="2:5" s="4" customFormat="1" ht="17.399999999999999" x14ac:dyDescent="0.45">
      <c r="B174" s="4" t="s">
        <v>243</v>
      </c>
      <c r="C174" s="86"/>
      <c r="D174" s="90">
        <f>D173-D172</f>
        <v>9364813006.2759991</v>
      </c>
      <c r="E174" s="100"/>
    </row>
    <row r="175" spans="2:5" x14ac:dyDescent="0.3">
      <c r="B175" s="2" t="s">
        <v>261</v>
      </c>
      <c r="C175" s="92"/>
    </row>
    <row r="176" spans="2:5" x14ac:dyDescent="0.3">
      <c r="B176" t="s">
        <v>78</v>
      </c>
      <c r="D176" s="58">
        <v>22576809.939999998</v>
      </c>
      <c r="E176" s="101">
        <v>15999031.990000002</v>
      </c>
    </row>
    <row r="177" spans="2:5" ht="16.2" x14ac:dyDescent="0.45">
      <c r="B177" t="s">
        <v>352</v>
      </c>
      <c r="C177" s="74"/>
      <c r="D177" s="58">
        <v>23853079.399999991</v>
      </c>
      <c r="E177" s="109">
        <v>10095890.640000001</v>
      </c>
    </row>
    <row r="178" spans="2:5" x14ac:dyDescent="0.3">
      <c r="B178" t="s">
        <v>5</v>
      </c>
      <c r="D178" s="58">
        <v>5311475.41</v>
      </c>
      <c r="E178" s="116"/>
    </row>
    <row r="179" spans="2:5" x14ac:dyDescent="0.3">
      <c r="B179" t="s">
        <v>281</v>
      </c>
      <c r="D179" s="58">
        <v>25368064.75</v>
      </c>
      <c r="E179" s="101">
        <v>20528548.989999998</v>
      </c>
    </row>
    <row r="180" spans="2:5" ht="16.2" x14ac:dyDescent="0.45">
      <c r="B180" s="46" t="s">
        <v>297</v>
      </c>
      <c r="D180" s="74">
        <v>10434836.059999999</v>
      </c>
      <c r="E180" s="117"/>
    </row>
    <row r="181" spans="2:5" ht="16.2" x14ac:dyDescent="0.45">
      <c r="B181" s="2"/>
      <c r="C181" s="79"/>
      <c r="D181" s="78">
        <f>SUM(D176:D180)</f>
        <v>87544265.559999987</v>
      </c>
      <c r="E181" s="107">
        <f>SUM(E176:E180)</f>
        <v>46623471.620000005</v>
      </c>
    </row>
    <row r="182" spans="2:5" x14ac:dyDescent="0.3">
      <c r="B182" s="2" t="s">
        <v>287</v>
      </c>
    </row>
    <row r="183" spans="2:5" x14ac:dyDescent="0.3">
      <c r="B183" t="s">
        <v>289</v>
      </c>
      <c r="D183" s="58">
        <v>63643.73</v>
      </c>
      <c r="E183" s="101">
        <v>45257.760000000002</v>
      </c>
    </row>
    <row r="184" spans="2:5" x14ac:dyDescent="0.3">
      <c r="B184" t="s">
        <v>290</v>
      </c>
      <c r="D184" s="58">
        <v>559.79999999999995</v>
      </c>
      <c r="E184" s="101">
        <v>279.89999999999998</v>
      </c>
    </row>
    <row r="185" spans="2:5" x14ac:dyDescent="0.3">
      <c r="B185" t="s">
        <v>338</v>
      </c>
      <c r="D185" s="58">
        <v>79074.45</v>
      </c>
      <c r="E185" s="101">
        <v>56481.75</v>
      </c>
    </row>
    <row r="186" spans="2:5" x14ac:dyDescent="0.3">
      <c r="B186" t="s">
        <v>339</v>
      </c>
      <c r="D186" s="58">
        <v>274894.56</v>
      </c>
      <c r="E186" s="101">
        <v>343618.2</v>
      </c>
    </row>
    <row r="187" spans="2:5" ht="16.2" x14ac:dyDescent="0.45">
      <c r="B187" t="s">
        <v>288</v>
      </c>
      <c r="C187" s="72"/>
      <c r="D187" s="74">
        <v>483183</v>
      </c>
      <c r="E187" s="106">
        <v>430947</v>
      </c>
    </row>
    <row r="188" spans="2:5" ht="16.2" x14ac:dyDescent="0.45">
      <c r="C188" s="72"/>
      <c r="D188" s="78">
        <f>SUM(D183:D187)</f>
        <v>901355.54</v>
      </c>
      <c r="E188" s="107">
        <f>SUM(E183:E187)</f>
        <v>876584.61</v>
      </c>
    </row>
    <row r="189" spans="2:5" x14ac:dyDescent="0.3">
      <c r="B189" s="2" t="s">
        <v>292</v>
      </c>
      <c r="C189" s="72"/>
      <c r="D189" s="72"/>
    </row>
    <row r="190" spans="2:5" x14ac:dyDescent="0.3">
      <c r="B190" t="s">
        <v>304</v>
      </c>
      <c r="C190" s="72"/>
      <c r="D190" s="58">
        <v>1800000</v>
      </c>
    </row>
    <row r="191" spans="2:5" ht="15.6" x14ac:dyDescent="0.3">
      <c r="B191" s="4" t="s">
        <v>303</v>
      </c>
      <c r="C191" s="73"/>
      <c r="D191" s="73">
        <v>30000</v>
      </c>
      <c r="E191" s="109">
        <v>54000</v>
      </c>
    </row>
    <row r="192" spans="2:5" ht="15.6" x14ac:dyDescent="0.3">
      <c r="B192" s="4" t="s">
        <v>378</v>
      </c>
      <c r="C192" s="73"/>
      <c r="D192" s="73">
        <v>240000</v>
      </c>
    </row>
    <row r="193" spans="2:5" s="1" customFormat="1" ht="17.399999999999999" x14ac:dyDescent="0.45">
      <c r="B193" s="5" t="s">
        <v>298</v>
      </c>
      <c r="C193" s="73"/>
      <c r="D193" s="81">
        <v>25000</v>
      </c>
      <c r="E193" s="109">
        <v>26000</v>
      </c>
    </row>
    <row r="194" spans="2:5" s="1" customFormat="1" ht="17.399999999999999" x14ac:dyDescent="0.45">
      <c r="B194" s="5"/>
      <c r="C194" s="73"/>
      <c r="D194" s="90">
        <f>SUM(D190:D193)</f>
        <v>2095000</v>
      </c>
      <c r="E194" s="115">
        <f>SUM(E190:E193)</f>
        <v>80000</v>
      </c>
    </row>
    <row r="195" spans="2:5" s="1" customFormat="1" ht="17.399999999999999" x14ac:dyDescent="0.45">
      <c r="B195" s="5"/>
      <c r="C195" s="73"/>
      <c r="D195" s="90"/>
      <c r="E195" s="115"/>
    </row>
    <row r="196" spans="2:5" s="1" customFormat="1" ht="17.399999999999999" x14ac:dyDescent="0.45">
      <c r="B196" s="5"/>
      <c r="C196" s="73"/>
      <c r="D196" s="90"/>
      <c r="E196" s="115"/>
    </row>
    <row r="197" spans="2:5" s="1" customFormat="1" ht="17.399999999999999" x14ac:dyDescent="0.45">
      <c r="B197" s="5"/>
      <c r="C197" s="73"/>
      <c r="D197" s="90"/>
      <c r="E197" s="115"/>
    </row>
    <row r="198" spans="2:5" s="1" customFormat="1" ht="17.399999999999999" x14ac:dyDescent="0.45">
      <c r="B198" s="5"/>
      <c r="C198" s="73"/>
      <c r="D198" s="90"/>
      <c r="E198" s="115"/>
    </row>
    <row r="199" spans="2:5" s="1" customFormat="1" ht="17.399999999999999" x14ac:dyDescent="0.45">
      <c r="B199" s="5"/>
      <c r="C199" s="73"/>
      <c r="D199" s="90"/>
      <c r="E199" s="115"/>
    </row>
    <row r="200" spans="2:5" x14ac:dyDescent="0.3">
      <c r="B200" s="2" t="s">
        <v>293</v>
      </c>
    </row>
    <row r="201" spans="2:5" ht="15.6" x14ac:dyDescent="0.3">
      <c r="B201" s="4" t="s">
        <v>146</v>
      </c>
      <c r="D201" s="73">
        <v>1000000</v>
      </c>
    </row>
    <row r="202" spans="2:5" ht="15.6" x14ac:dyDescent="0.3">
      <c r="B202" s="11" t="s">
        <v>80</v>
      </c>
      <c r="D202" s="73">
        <v>140500</v>
      </c>
      <c r="E202" s="100">
        <v>147000</v>
      </c>
    </row>
    <row r="203" spans="2:5" ht="15.6" x14ac:dyDescent="0.3">
      <c r="B203" s="11" t="s">
        <v>132</v>
      </c>
      <c r="D203" s="71">
        <v>25700</v>
      </c>
      <c r="E203" s="100">
        <v>22500</v>
      </c>
    </row>
    <row r="204" spans="2:5" ht="15.6" x14ac:dyDescent="0.3">
      <c r="B204" s="11" t="s">
        <v>12</v>
      </c>
      <c r="D204" s="73">
        <v>3442100</v>
      </c>
      <c r="E204" s="100">
        <v>1768480</v>
      </c>
    </row>
    <row r="205" spans="2:5" ht="15.6" x14ac:dyDescent="0.3">
      <c r="B205" s="11" t="s">
        <v>115</v>
      </c>
      <c r="D205" s="73">
        <v>8535000</v>
      </c>
      <c r="E205" s="100">
        <v>6495000</v>
      </c>
    </row>
    <row r="206" spans="2:5" ht="15.6" x14ac:dyDescent="0.3">
      <c r="B206" s="11" t="s">
        <v>17</v>
      </c>
      <c r="D206" s="73">
        <v>190250</v>
      </c>
      <c r="E206" s="100">
        <v>261150</v>
      </c>
    </row>
    <row r="207" spans="2:5" ht="15.6" x14ac:dyDescent="0.3">
      <c r="B207" s="11" t="s">
        <v>81</v>
      </c>
      <c r="D207" s="73">
        <v>657200</v>
      </c>
      <c r="E207" s="100">
        <v>246590</v>
      </c>
    </row>
    <row r="208" spans="2:5" ht="15.6" x14ac:dyDescent="0.3">
      <c r="B208" s="11" t="s">
        <v>379</v>
      </c>
      <c r="D208" s="73">
        <v>580000</v>
      </c>
    </row>
    <row r="209" spans="2:5" ht="15.6" x14ac:dyDescent="0.3">
      <c r="B209" s="11" t="s">
        <v>330</v>
      </c>
      <c r="D209" s="71">
        <v>1800000</v>
      </c>
      <c r="E209" s="100">
        <v>500000</v>
      </c>
    </row>
    <row r="210" spans="2:5" ht="15.6" x14ac:dyDescent="0.3">
      <c r="B210" s="4" t="s">
        <v>380</v>
      </c>
      <c r="D210" s="73">
        <v>380000</v>
      </c>
    </row>
    <row r="211" spans="2:5" ht="15.6" x14ac:dyDescent="0.3">
      <c r="B211" s="4" t="s">
        <v>120</v>
      </c>
      <c r="D211" s="71">
        <v>290000</v>
      </c>
      <c r="E211" s="100">
        <v>32000</v>
      </c>
    </row>
    <row r="212" spans="2:5" ht="15.6" x14ac:dyDescent="0.3">
      <c r="B212" s="11" t="s">
        <v>13</v>
      </c>
      <c r="D212" s="73">
        <v>462700</v>
      </c>
      <c r="E212" s="100">
        <v>450000</v>
      </c>
    </row>
    <row r="213" spans="2:5" ht="15.6" x14ac:dyDescent="0.3">
      <c r="B213" s="11" t="s">
        <v>302</v>
      </c>
      <c r="D213" s="73">
        <v>14500</v>
      </c>
      <c r="E213" s="100">
        <v>13650</v>
      </c>
    </row>
    <row r="214" spans="2:5" ht="15.6" x14ac:dyDescent="0.3">
      <c r="B214" s="11" t="s">
        <v>11</v>
      </c>
      <c r="D214" s="73">
        <v>213140</v>
      </c>
      <c r="E214" s="100">
        <v>121550</v>
      </c>
    </row>
    <row r="215" spans="2:5" ht="15.6" x14ac:dyDescent="0.3">
      <c r="B215" s="11" t="s">
        <v>10</v>
      </c>
      <c r="D215" s="73">
        <v>135800</v>
      </c>
      <c r="E215" s="100">
        <v>62580</v>
      </c>
    </row>
    <row r="216" spans="2:5" ht="15.6" x14ac:dyDescent="0.3">
      <c r="B216" s="11" t="s">
        <v>15</v>
      </c>
      <c r="D216" s="73">
        <v>425500</v>
      </c>
      <c r="E216" s="100">
        <v>308600</v>
      </c>
    </row>
    <row r="217" spans="2:5" ht="15.6" x14ac:dyDescent="0.3">
      <c r="B217" s="11" t="s">
        <v>381</v>
      </c>
      <c r="D217" s="73">
        <v>1020000</v>
      </c>
    </row>
    <row r="218" spans="2:5" ht="15.6" x14ac:dyDescent="0.3">
      <c r="B218" s="4" t="s">
        <v>114</v>
      </c>
      <c r="D218" s="73">
        <v>2386600</v>
      </c>
      <c r="E218" s="100">
        <v>2619500</v>
      </c>
    </row>
    <row r="219" spans="2:5" ht="15.6" x14ac:dyDescent="0.3">
      <c r="B219" s="11" t="s">
        <v>44</v>
      </c>
      <c r="D219" s="73">
        <v>665950</v>
      </c>
      <c r="E219" s="100">
        <v>467650</v>
      </c>
    </row>
    <row r="220" spans="2:5" ht="15.6" x14ac:dyDescent="0.3">
      <c r="B220" s="11" t="s">
        <v>382</v>
      </c>
      <c r="D220" s="73">
        <v>8316100</v>
      </c>
      <c r="E220" s="100">
        <v>764950</v>
      </c>
    </row>
    <row r="221" spans="2:5" ht="15.6" x14ac:dyDescent="0.3">
      <c r="B221" s="11" t="s">
        <v>16</v>
      </c>
      <c r="D221" s="73">
        <v>122000</v>
      </c>
      <c r="E221" s="100">
        <v>122120</v>
      </c>
    </row>
    <row r="222" spans="2:5" ht="15.6" x14ac:dyDescent="0.3">
      <c r="B222" s="11" t="s">
        <v>252</v>
      </c>
      <c r="D222" s="73">
        <v>33176000</v>
      </c>
    </row>
    <row r="223" spans="2:5" ht="15.6" x14ac:dyDescent="0.3">
      <c r="B223" s="11" t="s">
        <v>383</v>
      </c>
      <c r="D223" s="71">
        <v>2674000</v>
      </c>
    </row>
    <row r="224" spans="2:5" ht="15.6" x14ac:dyDescent="0.3">
      <c r="B224" s="13" t="s">
        <v>145</v>
      </c>
      <c r="D224" s="71"/>
      <c r="E224" s="118">
        <v>1622100</v>
      </c>
    </row>
    <row r="225" spans="2:5" ht="15.6" x14ac:dyDescent="0.3">
      <c r="B225" s="68" t="s">
        <v>141</v>
      </c>
      <c r="D225" s="71"/>
      <c r="E225" s="100">
        <v>1000000</v>
      </c>
    </row>
    <row r="226" spans="2:5" ht="17.399999999999999" x14ac:dyDescent="0.45">
      <c r="B226" s="11" t="s">
        <v>384</v>
      </c>
      <c r="D226" s="93"/>
      <c r="E226" s="110">
        <v>1576000</v>
      </c>
    </row>
    <row r="227" spans="2:5" ht="17.399999999999999" x14ac:dyDescent="0.45">
      <c r="B227" s="11"/>
      <c r="D227" s="85">
        <f>SUM(D201:D223)</f>
        <v>66653040</v>
      </c>
      <c r="E227" s="108">
        <f>SUM(E202:E226)</f>
        <v>18601420</v>
      </c>
    </row>
    <row r="228" spans="2:5" x14ac:dyDescent="0.3">
      <c r="B228" s="2" t="s">
        <v>312</v>
      </c>
      <c r="D228" s="72"/>
    </row>
    <row r="229" spans="2:5" ht="15.6" x14ac:dyDescent="0.3">
      <c r="B229" s="43" t="s">
        <v>313</v>
      </c>
      <c r="D229" s="73">
        <v>9353545.3599999994</v>
      </c>
      <c r="E229" s="100">
        <v>9056438.9399999995</v>
      </c>
    </row>
    <row r="230" spans="2:5" x14ac:dyDescent="0.3">
      <c r="B230" t="s">
        <v>98</v>
      </c>
      <c r="D230" s="58">
        <v>418306.04000000004</v>
      </c>
      <c r="E230" s="109">
        <v>406904.75</v>
      </c>
    </row>
    <row r="231" spans="2:5" ht="16.2" x14ac:dyDescent="0.45">
      <c r="B231" s="45" t="s">
        <v>101</v>
      </c>
      <c r="D231" s="74">
        <v>454304</v>
      </c>
      <c r="E231" s="109">
        <v>339086.84</v>
      </c>
    </row>
    <row r="232" spans="2:5" ht="16.2" x14ac:dyDescent="0.45">
      <c r="D232" s="78">
        <f>SUM(D229:D231)</f>
        <v>10226155.399999999</v>
      </c>
      <c r="E232" s="107">
        <f>SUM(E229:E231)</f>
        <v>9802430.5299999993</v>
      </c>
    </row>
    <row r="233" spans="2:5" ht="16.2" x14ac:dyDescent="0.45">
      <c r="B233" s="2" t="s">
        <v>354</v>
      </c>
      <c r="D233" s="78"/>
    </row>
    <row r="234" spans="2:5" ht="17.399999999999999" x14ac:dyDescent="0.45">
      <c r="B234" s="4" t="s">
        <v>385</v>
      </c>
      <c r="C234" s="86"/>
      <c r="D234" s="73">
        <v>26561895.640000001</v>
      </c>
      <c r="E234" s="106">
        <v>34119818.730000004</v>
      </c>
    </row>
    <row r="235" spans="2:5" ht="17.399999999999999" x14ac:dyDescent="0.45">
      <c r="B235" s="4" t="s">
        <v>361</v>
      </c>
      <c r="C235" s="86"/>
      <c r="D235" s="58">
        <v>1447308.38</v>
      </c>
      <c r="E235" s="106"/>
    </row>
    <row r="236" spans="2:5" ht="17.399999999999999" x14ac:dyDescent="0.45">
      <c r="B236" t="s">
        <v>388</v>
      </c>
      <c r="C236" s="86"/>
      <c r="D236" s="73">
        <v>191961</v>
      </c>
      <c r="E236" s="106"/>
    </row>
    <row r="237" spans="2:5" x14ac:dyDescent="0.3">
      <c r="B237" t="s">
        <v>348</v>
      </c>
      <c r="D237" s="58">
        <v>1174.96</v>
      </c>
      <c r="E237" s="105">
        <v>480877.44</v>
      </c>
    </row>
    <row r="238" spans="2:5" x14ac:dyDescent="0.3">
      <c r="B238" t="s">
        <v>3</v>
      </c>
      <c r="D238" s="58">
        <v>622428.31999999995</v>
      </c>
    </row>
    <row r="239" spans="2:5" x14ac:dyDescent="0.3">
      <c r="B239" t="s">
        <v>4</v>
      </c>
      <c r="D239" s="58">
        <v>49153.9</v>
      </c>
    </row>
    <row r="240" spans="2:5" x14ac:dyDescent="0.3">
      <c r="B240" t="s">
        <v>50</v>
      </c>
      <c r="D240" s="58">
        <v>50</v>
      </c>
    </row>
    <row r="241" spans="2:5" x14ac:dyDescent="0.3">
      <c r="B241" t="s">
        <v>349</v>
      </c>
      <c r="D241" s="58">
        <v>272206.25</v>
      </c>
    </row>
    <row r="242" spans="2:5" ht="16.2" x14ac:dyDescent="0.45">
      <c r="B242" t="s">
        <v>350</v>
      </c>
      <c r="C242" s="74"/>
      <c r="D242" s="74" t="s">
        <v>402</v>
      </c>
      <c r="E242" s="119"/>
    </row>
    <row r="243" spans="2:5" ht="16.2" x14ac:dyDescent="0.45">
      <c r="D243" s="78">
        <f>SUM(D234:D242)</f>
        <v>29146178.449999999</v>
      </c>
      <c r="E243" s="107">
        <f>SUM(E234:E241)</f>
        <v>34600696.170000002</v>
      </c>
    </row>
    <row r="244" spans="2:5" ht="16.2" x14ac:dyDescent="0.45">
      <c r="D244" s="78"/>
      <c r="E244" s="107"/>
    </row>
    <row r="245" spans="2:5" ht="16.2" x14ac:dyDescent="0.45">
      <c r="D245" s="78"/>
      <c r="E245" s="107"/>
    </row>
    <row r="246" spans="2:5" ht="16.2" x14ac:dyDescent="0.45">
      <c r="D246" s="78"/>
      <c r="E246" s="107"/>
    </row>
    <row r="247" spans="2:5" ht="16.2" x14ac:dyDescent="0.45">
      <c r="D247" s="78"/>
      <c r="E247" s="107"/>
    </row>
    <row r="248" spans="2:5" ht="16.2" x14ac:dyDescent="0.45">
      <c r="C248" s="58">
        <v>8</v>
      </c>
      <c r="D248" s="78"/>
      <c r="E248" s="107"/>
    </row>
    <row r="249" spans="2:5" ht="16.2" x14ac:dyDescent="0.45">
      <c r="D249" s="78"/>
      <c r="E249" s="107"/>
    </row>
    <row r="250" spans="2:5" ht="15.6" x14ac:dyDescent="0.3">
      <c r="B250" s="2" t="s">
        <v>364</v>
      </c>
      <c r="C250" s="91" t="s">
        <v>240</v>
      </c>
    </row>
    <row r="251" spans="2:5" ht="15.6" x14ac:dyDescent="0.3">
      <c r="B251" t="s">
        <v>106</v>
      </c>
      <c r="D251" s="73">
        <v>36174931.827</v>
      </c>
      <c r="E251" s="101">
        <v>38929561.827</v>
      </c>
    </row>
    <row r="252" spans="2:5" ht="15.6" x14ac:dyDescent="0.3">
      <c r="B252" t="s">
        <v>386</v>
      </c>
      <c r="C252" s="101">
        <v>22975.47</v>
      </c>
      <c r="D252" s="73">
        <f>C252*1939</f>
        <v>44549436.330000006</v>
      </c>
      <c r="E252" s="101">
        <v>742950</v>
      </c>
    </row>
    <row r="253" spans="2:5" ht="15.6" x14ac:dyDescent="0.3">
      <c r="B253" t="s">
        <v>360</v>
      </c>
      <c r="C253" s="58">
        <v>26279</v>
      </c>
      <c r="D253" s="73">
        <f>C253*1939</f>
        <v>50954981</v>
      </c>
    </row>
    <row r="254" spans="2:5" ht="17.399999999999999" x14ac:dyDescent="0.45">
      <c r="B254" t="s">
        <v>249</v>
      </c>
      <c r="C254" s="58">
        <v>2500000</v>
      </c>
      <c r="D254" s="81">
        <v>4811575000</v>
      </c>
      <c r="E254" s="119"/>
    </row>
    <row r="255" spans="2:5" x14ac:dyDescent="0.3">
      <c r="D255" s="58">
        <f>SUM(D251:D254)</f>
        <v>4943254349.1569996</v>
      </c>
      <c r="E255" s="101">
        <v>39672511.827</v>
      </c>
    </row>
    <row r="256" spans="2:5" x14ac:dyDescent="0.3">
      <c r="B256" t="s">
        <v>317</v>
      </c>
      <c r="C256" s="58">
        <v>1766061</v>
      </c>
      <c r="D256" s="58">
        <v>-3399013982.4299998</v>
      </c>
    </row>
    <row r="257" spans="2:5" x14ac:dyDescent="0.3">
      <c r="B257" t="s">
        <v>318</v>
      </c>
      <c r="C257" s="58">
        <v>500000</v>
      </c>
      <c r="D257" s="58">
        <v>-962315000</v>
      </c>
      <c r="E257" s="109"/>
    </row>
    <row r="258" spans="2:5" x14ac:dyDescent="0.3">
      <c r="B258" t="s">
        <v>362</v>
      </c>
      <c r="C258" s="58">
        <v>746.42000000000007</v>
      </c>
      <c r="D258" s="58">
        <v>-1447308.38</v>
      </c>
      <c r="E258" s="109"/>
    </row>
    <row r="259" spans="2:5" ht="15.6" x14ac:dyDescent="0.3">
      <c r="B259" t="s">
        <v>387</v>
      </c>
      <c r="C259" s="58">
        <v>99</v>
      </c>
      <c r="D259" s="73">
        <v>-191961</v>
      </c>
      <c r="E259" s="109"/>
    </row>
    <row r="260" spans="2:5" ht="16.2" x14ac:dyDescent="0.45">
      <c r="B260" t="s">
        <v>359</v>
      </c>
      <c r="D260" s="82"/>
      <c r="E260" s="106">
        <v>3497580</v>
      </c>
    </row>
    <row r="261" spans="2:5" ht="16.2" x14ac:dyDescent="0.45">
      <c r="D261" s="78">
        <f>SUM(D255:D259)</f>
        <v>580286097.34699976</v>
      </c>
      <c r="E261" s="108">
        <v>36174931.827</v>
      </c>
    </row>
    <row r="262" spans="2:5" ht="15.6" x14ac:dyDescent="0.3">
      <c r="B262" s="2" t="s">
        <v>365</v>
      </c>
      <c r="D262" s="73"/>
    </row>
    <row r="263" spans="2:5" ht="15.6" x14ac:dyDescent="0.3">
      <c r="B263" t="s">
        <v>106</v>
      </c>
      <c r="D263" s="73">
        <v>708477.69</v>
      </c>
    </row>
    <row r="264" spans="2:5" ht="16.2" x14ac:dyDescent="0.45">
      <c r="B264" t="s">
        <v>250</v>
      </c>
      <c r="C264" s="58">
        <v>500000</v>
      </c>
      <c r="D264" s="74">
        <v>962315000</v>
      </c>
    </row>
    <row r="265" spans="2:5" x14ac:dyDescent="0.3">
      <c r="D265" s="58">
        <f>SUM(D263:D264)</f>
        <v>963023477.69000006</v>
      </c>
    </row>
    <row r="266" spans="2:5" x14ac:dyDescent="0.3">
      <c r="B266" t="s">
        <v>278</v>
      </c>
      <c r="C266" s="58">
        <v>100994</v>
      </c>
      <c r="D266" s="58">
        <v>-203000000</v>
      </c>
    </row>
    <row r="267" spans="2:5" x14ac:dyDescent="0.3">
      <c r="B267" t="s">
        <v>279</v>
      </c>
      <c r="C267" s="58">
        <v>300000</v>
      </c>
      <c r="D267" s="58">
        <v>-370590000</v>
      </c>
    </row>
    <row r="268" spans="2:5" ht="16.2" x14ac:dyDescent="0.45">
      <c r="B268" t="s">
        <v>337</v>
      </c>
      <c r="C268" s="58">
        <v>23000</v>
      </c>
      <c r="D268" s="74">
        <v>-44597000</v>
      </c>
    </row>
    <row r="269" spans="2:5" ht="16.2" x14ac:dyDescent="0.45">
      <c r="D269" s="78">
        <f>SUM(D265:D268)</f>
        <v>344836477.69000006</v>
      </c>
    </row>
    <row r="270" spans="2:5" ht="16.2" x14ac:dyDescent="0.45">
      <c r="C270" s="74"/>
      <c r="E270" s="101">
        <f>C264-C266-C267-C268</f>
        <v>76006</v>
      </c>
    </row>
    <row r="272" spans="2:5" x14ac:dyDescent="0.3">
      <c r="B272" s="2" t="s">
        <v>366</v>
      </c>
      <c r="C272" s="94" t="s">
        <v>150</v>
      </c>
    </row>
    <row r="273" spans="2:4" x14ac:dyDescent="0.3">
      <c r="B273" t="s">
        <v>106</v>
      </c>
      <c r="C273" s="58">
        <v>1532.62</v>
      </c>
      <c r="D273" s="58">
        <v>631347.48</v>
      </c>
    </row>
    <row r="274" spans="2:4" x14ac:dyDescent="0.3">
      <c r="B274" t="s">
        <v>19</v>
      </c>
      <c r="C274" s="58">
        <v>-0.76</v>
      </c>
      <c r="D274" s="58">
        <v>-1174.96</v>
      </c>
    </row>
    <row r="275" spans="2:4" ht="16.2" x14ac:dyDescent="0.45">
      <c r="B275" t="s">
        <v>335</v>
      </c>
      <c r="C275" s="58">
        <v>-1000</v>
      </c>
      <c r="D275" s="74">
        <v>-1546000</v>
      </c>
    </row>
    <row r="276" spans="2:4" x14ac:dyDescent="0.3">
      <c r="D276" s="58">
        <f>SUM(D273:D275)</f>
        <v>-915827.48</v>
      </c>
    </row>
    <row r="277" spans="2:4" ht="16.2" x14ac:dyDescent="0.45">
      <c r="B277" t="s">
        <v>336</v>
      </c>
      <c r="C277" s="58">
        <f>SUM(C273:C276)</f>
        <v>531.8599999999999</v>
      </c>
      <c r="D277" s="74">
        <v>822255.56</v>
      </c>
    </row>
    <row r="278" spans="2:4" ht="16.2" x14ac:dyDescent="0.45">
      <c r="B278" t="s">
        <v>314</v>
      </c>
      <c r="D278" s="78">
        <f>D277-D276</f>
        <v>1738083.04</v>
      </c>
    </row>
    <row r="279" spans="2:4" ht="16.2" x14ac:dyDescent="0.45">
      <c r="C279" s="74"/>
    </row>
    <row r="299" spans="3:3" x14ac:dyDescent="0.3">
      <c r="C299" s="58">
        <v>9</v>
      </c>
    </row>
  </sheetData>
  <pageMargins left="0.25" right="0.25" top="0.75" bottom="0.5" header="0.3" footer="0.3"/>
  <pageSetup scale="90" orientation="portrait" r:id="rId1"/>
  <headerFooter differentOddEven="1">
    <firstFooter>&amp;C4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39"/>
  <sheetViews>
    <sheetView view="pageLayout" topLeftCell="A19" workbookViewId="0">
      <selection activeCell="D15" sqref="D15"/>
    </sheetView>
  </sheetViews>
  <sheetFormatPr defaultRowHeight="14.4" x14ac:dyDescent="0.3"/>
  <cols>
    <col min="1" max="1" width="44" customWidth="1"/>
    <col min="2" max="2" width="11" style="14" customWidth="1"/>
    <col min="3" max="3" width="15.33203125" style="1" customWidth="1"/>
    <col min="4" max="4" width="24.6640625" style="58" customWidth="1"/>
  </cols>
  <sheetData>
    <row r="2" spans="1:6" x14ac:dyDescent="0.3">
      <c r="A2" s="15"/>
      <c r="B2" s="16"/>
      <c r="C2" s="17"/>
    </row>
    <row r="3" spans="1:6" ht="18" x14ac:dyDescent="0.35">
      <c r="A3" s="123" t="s">
        <v>234</v>
      </c>
      <c r="B3" s="123"/>
      <c r="C3" s="123"/>
      <c r="D3" s="123"/>
      <c r="E3" s="8"/>
      <c r="F3" s="2"/>
    </row>
    <row r="4" spans="1:6" ht="18" x14ac:dyDescent="0.35">
      <c r="A4" s="122" t="s">
        <v>391</v>
      </c>
      <c r="B4" s="122"/>
      <c r="C4" s="122"/>
      <c r="D4" s="122"/>
      <c r="E4" s="8"/>
      <c r="F4" s="2"/>
    </row>
    <row r="5" spans="1:6" ht="37.5" customHeight="1" x14ac:dyDescent="0.35">
      <c r="A5" s="21"/>
      <c r="B5" s="20"/>
      <c r="C5" s="21"/>
      <c r="D5" s="62"/>
      <c r="E5" s="7"/>
    </row>
    <row r="6" spans="1:6" ht="29.25" customHeight="1" x14ac:dyDescent="0.35">
      <c r="A6" s="19"/>
      <c r="B6" s="37" t="s">
        <v>63</v>
      </c>
      <c r="D6" s="63" t="s">
        <v>32</v>
      </c>
      <c r="E6" s="7"/>
    </row>
    <row r="7" spans="1:6" ht="29.25" customHeight="1" x14ac:dyDescent="0.35">
      <c r="A7" s="19" t="s">
        <v>82</v>
      </c>
      <c r="B7" s="37">
        <v>10</v>
      </c>
      <c r="D7" s="63">
        <v>181072099.52999997</v>
      </c>
      <c r="E7" s="7"/>
    </row>
    <row r="8" spans="1:6" ht="29.25" customHeight="1" x14ac:dyDescent="0.35">
      <c r="A8" s="19" t="s">
        <v>363</v>
      </c>
      <c r="B8" s="37"/>
      <c r="D8" s="63">
        <v>50954981</v>
      </c>
      <c r="E8" s="7"/>
    </row>
    <row r="9" spans="1:6" ht="29.25" customHeight="1" x14ac:dyDescent="0.35">
      <c r="A9" s="19" t="s">
        <v>389</v>
      </c>
      <c r="B9" s="37"/>
      <c r="D9" s="63">
        <v>44549436.330000006</v>
      </c>
      <c r="E9" s="7"/>
    </row>
    <row r="10" spans="1:6" ht="25.5" customHeight="1" x14ac:dyDescent="0.35">
      <c r="A10" s="19" t="s">
        <v>232</v>
      </c>
      <c r="B10" s="20">
        <v>11</v>
      </c>
      <c r="D10" s="54">
        <f>' Notes to the Account'!D181</f>
        <v>87544265.559999987</v>
      </c>
      <c r="E10" s="7"/>
    </row>
    <row r="11" spans="1:6" ht="25.5" customHeight="1" x14ac:dyDescent="0.35">
      <c r="A11" s="19" t="s">
        <v>26</v>
      </c>
      <c r="B11" s="20">
        <v>12</v>
      </c>
      <c r="D11" s="54">
        <v>901355.54</v>
      </c>
      <c r="E11" s="7"/>
    </row>
    <row r="12" spans="1:6" ht="25.5" customHeight="1" x14ac:dyDescent="0.35">
      <c r="A12" s="19" t="s">
        <v>259</v>
      </c>
      <c r="B12" s="20"/>
      <c r="D12" s="54">
        <v>8392300</v>
      </c>
      <c r="E12" s="7"/>
    </row>
    <row r="13" spans="1:6" ht="25.5" customHeight="1" x14ac:dyDescent="0.35">
      <c r="A13" s="19" t="s">
        <v>218</v>
      </c>
      <c r="B13" s="20"/>
      <c r="D13" s="54">
        <v>4976700</v>
      </c>
      <c r="E13" s="7"/>
    </row>
    <row r="14" spans="1:6" ht="25.5" customHeight="1" x14ac:dyDescent="0.35">
      <c r="A14" s="19" t="s">
        <v>258</v>
      </c>
      <c r="B14" s="20">
        <v>13</v>
      </c>
      <c r="D14" s="62">
        <v>2095000</v>
      </c>
      <c r="E14" s="7"/>
    </row>
    <row r="15" spans="1:6" ht="37.5" customHeight="1" x14ac:dyDescent="0.65">
      <c r="A15" s="7" t="s">
        <v>212</v>
      </c>
      <c r="B15" s="20"/>
      <c r="D15" s="64">
        <v>2746000</v>
      </c>
      <c r="E15" s="7"/>
    </row>
    <row r="16" spans="1:6" ht="35.25" customHeight="1" x14ac:dyDescent="0.6">
      <c r="A16" s="18" t="s">
        <v>64</v>
      </c>
      <c r="B16" s="20"/>
      <c r="D16" s="65">
        <f>SUM(D7:D15)</f>
        <v>383232137.95999998</v>
      </c>
      <c r="E16" s="7"/>
    </row>
    <row r="17" spans="1:5" ht="33" customHeight="1" x14ac:dyDescent="0.35">
      <c r="A17" s="19" t="s">
        <v>65</v>
      </c>
      <c r="B17" s="20">
        <v>14</v>
      </c>
      <c r="D17" s="62">
        <v>-66653040</v>
      </c>
      <c r="E17" s="7"/>
    </row>
    <row r="18" spans="1:5" ht="36.75" customHeight="1" x14ac:dyDescent="0.35">
      <c r="A18" s="19" t="s">
        <v>154</v>
      </c>
      <c r="B18" s="20">
        <v>15</v>
      </c>
      <c r="D18" s="54">
        <v>-10226155.4</v>
      </c>
      <c r="E18" s="7"/>
    </row>
    <row r="19" spans="1:5" ht="33" customHeight="1" x14ac:dyDescent="0.35">
      <c r="A19" s="19" t="s">
        <v>43</v>
      </c>
      <c r="B19" s="20">
        <v>1</v>
      </c>
      <c r="D19" s="54">
        <v>-6361754.7000000002</v>
      </c>
      <c r="E19" s="7"/>
    </row>
    <row r="20" spans="1:5" ht="31.5" customHeight="1" x14ac:dyDescent="0.35">
      <c r="A20" s="19" t="s">
        <v>90</v>
      </c>
      <c r="B20" s="20"/>
      <c r="D20" s="51">
        <v>-29316673.699999999</v>
      </c>
      <c r="E20" s="7"/>
    </row>
    <row r="21" spans="1:5" ht="31.5" customHeight="1" x14ac:dyDescent="0.65">
      <c r="A21" s="19" t="s">
        <v>224</v>
      </c>
      <c r="B21" s="20">
        <v>6</v>
      </c>
      <c r="D21" s="66">
        <v>-11597890.199999999</v>
      </c>
      <c r="E21" s="7"/>
    </row>
    <row r="22" spans="1:5" ht="33" customHeight="1" x14ac:dyDescent="0.6">
      <c r="A22" s="18" t="s">
        <v>367</v>
      </c>
      <c r="B22" s="20" t="s">
        <v>28</v>
      </c>
      <c r="D22" s="65">
        <f>SUM(D16:D21)</f>
        <v>259076623.96000004</v>
      </c>
      <c r="E22" s="7"/>
    </row>
    <row r="23" spans="1:5" x14ac:dyDescent="0.3">
      <c r="A23" s="15"/>
      <c r="B23" s="16"/>
      <c r="C23" s="36"/>
      <c r="D23" s="67"/>
    </row>
    <row r="24" spans="1:5" ht="19.2" x14ac:dyDescent="0.6">
      <c r="A24" s="15"/>
      <c r="B24" s="16"/>
      <c r="C24" s="22"/>
      <c r="D24" s="67"/>
    </row>
    <row r="39" spans="1:1" x14ac:dyDescent="0.3">
      <c r="A39" s="34"/>
    </row>
  </sheetData>
  <mergeCells count="2">
    <mergeCell ref="A4:D4"/>
    <mergeCell ref="A3:D3"/>
  </mergeCells>
  <pageMargins left="0.47916666666666669" right="0.23" top="0.87" bottom="0.75" header="0.3" footer="0.3"/>
  <pageSetup orientation="portrait" r:id="rId1"/>
  <headerFooter>
    <oddFooter xml:space="preserve">&amp;C2
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36"/>
  <sheetViews>
    <sheetView tabSelected="1" view="pageLayout" topLeftCell="A15" workbookViewId="0">
      <selection activeCell="F23" sqref="F23"/>
    </sheetView>
  </sheetViews>
  <sheetFormatPr defaultRowHeight="18" x14ac:dyDescent="0.35"/>
  <cols>
    <col min="1" max="1" width="30" customWidth="1"/>
    <col min="2" max="2" width="6.5546875" customWidth="1"/>
    <col min="3" max="3" width="20.6640625" style="58" customWidth="1"/>
    <col min="4" max="4" width="21.33203125" style="58" customWidth="1"/>
    <col min="5" max="5" width="24.88671875" style="58" bestFit="1" customWidth="1"/>
    <col min="6" max="6" width="24.88671875" style="58" customWidth="1"/>
    <col min="7" max="7" width="24.88671875" style="50" bestFit="1" customWidth="1"/>
  </cols>
  <sheetData>
    <row r="1" spans="1:7" ht="16.8" x14ac:dyDescent="0.3">
      <c r="A1" s="121" t="s">
        <v>234</v>
      </c>
      <c r="B1" s="121"/>
      <c r="C1" s="121"/>
      <c r="D1" s="121"/>
      <c r="E1" s="121"/>
      <c r="F1" s="121"/>
      <c r="G1" s="121"/>
    </row>
    <row r="2" spans="1:7" x14ac:dyDescent="0.35">
      <c r="A2" s="120" t="s">
        <v>392</v>
      </c>
      <c r="B2" s="120"/>
      <c r="C2" s="120"/>
      <c r="D2" s="120"/>
      <c r="E2" s="120"/>
      <c r="F2" s="120"/>
      <c r="G2" s="120"/>
    </row>
    <row r="3" spans="1:7" x14ac:dyDescent="0.35">
      <c r="A3" s="12"/>
      <c r="B3" s="12"/>
      <c r="C3" s="51"/>
      <c r="D3" s="51"/>
      <c r="E3" s="51"/>
      <c r="F3" s="51"/>
      <c r="G3" s="49"/>
    </row>
    <row r="4" spans="1:7" ht="30" customHeight="1" x14ac:dyDescent="0.35">
      <c r="A4" s="7"/>
      <c r="B4" s="12"/>
      <c r="C4" s="59" t="s">
        <v>136</v>
      </c>
      <c r="D4" s="59" t="s">
        <v>94</v>
      </c>
      <c r="E4" s="59" t="s">
        <v>66</v>
      </c>
      <c r="F4" s="47">
        <v>2024</v>
      </c>
      <c r="G4" s="48">
        <v>2023</v>
      </c>
    </row>
    <row r="5" spans="1:7" ht="30" customHeight="1" x14ac:dyDescent="0.35">
      <c r="A5" s="7"/>
      <c r="B5" s="29" t="s">
        <v>233</v>
      </c>
      <c r="C5" s="51" t="s">
        <v>32</v>
      </c>
      <c r="D5" s="51" t="s">
        <v>32</v>
      </c>
      <c r="E5" s="51" t="s">
        <v>32</v>
      </c>
      <c r="F5" s="51" t="s">
        <v>32</v>
      </c>
      <c r="G5" s="51" t="s">
        <v>32</v>
      </c>
    </row>
    <row r="6" spans="1:7" ht="43.5" customHeight="1" x14ac:dyDescent="0.35">
      <c r="A6" s="7" t="s">
        <v>67</v>
      </c>
      <c r="B6" s="12">
        <v>1</v>
      </c>
      <c r="C6" s="54">
        <v>521597113.22899997</v>
      </c>
      <c r="D6" s="54">
        <v>316628353.86000001</v>
      </c>
      <c r="E6" s="54">
        <v>734873864.70000005</v>
      </c>
      <c r="F6" s="54">
        <f>SUM(C6:E6)</f>
        <v>1573099331.789</v>
      </c>
      <c r="G6" s="52">
        <v>1298887078.4889998</v>
      </c>
    </row>
    <row r="7" spans="1:7" ht="42" customHeight="1" x14ac:dyDescent="0.35">
      <c r="A7" s="7" t="s">
        <v>68</v>
      </c>
      <c r="B7" s="12">
        <v>2</v>
      </c>
      <c r="C7" s="61" t="s">
        <v>91</v>
      </c>
      <c r="D7" s="61" t="s">
        <v>91</v>
      </c>
      <c r="E7" s="54">
        <f>' Notes to the Account'!D13</f>
        <v>12551165993.646999</v>
      </c>
      <c r="F7" s="54">
        <f>' Notes to the Account'!D13</f>
        <v>12551165993.646999</v>
      </c>
      <c r="G7" s="52">
        <v>3639427588.8440003</v>
      </c>
    </row>
    <row r="8" spans="1:7" ht="42.75" customHeight="1" x14ac:dyDescent="0.35">
      <c r="A8" s="7" t="s">
        <v>35</v>
      </c>
      <c r="B8" s="12">
        <v>3</v>
      </c>
      <c r="C8" s="61" t="s">
        <v>91</v>
      </c>
      <c r="D8" s="61" t="s">
        <v>91</v>
      </c>
      <c r="E8" s="54">
        <v>5503427</v>
      </c>
      <c r="F8" s="54">
        <f t="shared" ref="F8:F14" si="0">SUM(C8:E8)</f>
        <v>5503427</v>
      </c>
      <c r="G8" s="52">
        <v>18354609.12099988</v>
      </c>
    </row>
    <row r="9" spans="1:7" ht="41.25" customHeight="1" x14ac:dyDescent="0.35">
      <c r="A9" s="7" t="s">
        <v>300</v>
      </c>
      <c r="B9" s="12"/>
      <c r="C9" s="61" t="s">
        <v>91</v>
      </c>
      <c r="D9" s="61" t="s">
        <v>91</v>
      </c>
      <c r="E9" s="54">
        <v>530000</v>
      </c>
      <c r="F9" s="54">
        <f t="shared" si="0"/>
        <v>530000</v>
      </c>
      <c r="G9" s="52">
        <v>530000</v>
      </c>
    </row>
    <row r="10" spans="1:7" ht="42.75" customHeight="1" x14ac:dyDescent="0.35">
      <c r="A10" s="7" t="s">
        <v>69</v>
      </c>
      <c r="B10" s="12">
        <v>4</v>
      </c>
      <c r="C10" s="61" t="s">
        <v>91</v>
      </c>
      <c r="D10" s="61" t="s">
        <v>91</v>
      </c>
      <c r="E10" s="54">
        <v>139</v>
      </c>
      <c r="F10" s="54">
        <f t="shared" si="0"/>
        <v>139</v>
      </c>
      <c r="G10" s="52">
        <v>139</v>
      </c>
    </row>
    <row r="11" spans="1:7" ht="43.5" customHeight="1" x14ac:dyDescent="0.35">
      <c r="A11" s="7" t="s">
        <v>97</v>
      </c>
      <c r="B11" s="12">
        <v>5</v>
      </c>
      <c r="C11" s="61" t="s">
        <v>91</v>
      </c>
      <c r="D11" s="61" t="s">
        <v>91</v>
      </c>
      <c r="E11" s="54">
        <f>' Notes to the Account'!D66</f>
        <v>699961514.83999991</v>
      </c>
      <c r="F11" s="54">
        <f t="shared" si="0"/>
        <v>699961514.83999991</v>
      </c>
      <c r="G11" s="52">
        <v>168858504.15700001</v>
      </c>
    </row>
    <row r="12" spans="1:7" ht="42.75" customHeight="1" x14ac:dyDescent="0.35">
      <c r="A12" s="7" t="s">
        <v>96</v>
      </c>
      <c r="B12" s="12"/>
      <c r="C12" s="61" t="s">
        <v>91</v>
      </c>
      <c r="D12" s="61" t="s">
        <v>91</v>
      </c>
      <c r="E12" s="54">
        <v>50000000</v>
      </c>
      <c r="F12" s="54">
        <f t="shared" si="0"/>
        <v>50000000</v>
      </c>
      <c r="G12" s="52">
        <v>50000000</v>
      </c>
    </row>
    <row r="13" spans="1:7" ht="42.75" customHeight="1" x14ac:dyDescent="0.35">
      <c r="A13" s="7" t="s">
        <v>95</v>
      </c>
      <c r="B13" s="12"/>
      <c r="C13" s="61" t="s">
        <v>91</v>
      </c>
      <c r="D13" s="61" t="s">
        <v>91</v>
      </c>
      <c r="E13" s="54">
        <v>1550000</v>
      </c>
      <c r="F13" s="54">
        <f t="shared" si="0"/>
        <v>1550000</v>
      </c>
      <c r="G13" s="52">
        <v>510000</v>
      </c>
    </row>
    <row r="14" spans="1:7" ht="42.75" customHeight="1" x14ac:dyDescent="0.35">
      <c r="A14" s="7" t="s">
        <v>211</v>
      </c>
      <c r="B14" s="12"/>
      <c r="C14" s="61" t="s">
        <v>91</v>
      </c>
      <c r="D14" s="61" t="s">
        <v>91</v>
      </c>
      <c r="E14" s="54">
        <v>2578950</v>
      </c>
      <c r="F14" s="54">
        <f t="shared" si="0"/>
        <v>2578950</v>
      </c>
      <c r="G14" s="52">
        <v>1948950</v>
      </c>
    </row>
    <row r="15" spans="1:7" ht="42" customHeight="1" x14ac:dyDescent="0.35">
      <c r="A15" s="7" t="s">
        <v>400</v>
      </c>
      <c r="B15" s="12">
        <v>6</v>
      </c>
      <c r="C15" s="61" t="s">
        <v>91</v>
      </c>
      <c r="D15" s="61" t="s">
        <v>91</v>
      </c>
      <c r="E15" s="54">
        <f>' Notes to the Account'!D70</f>
        <v>34793670.599999994</v>
      </c>
      <c r="F15" s="54">
        <f>E15</f>
        <v>34793670.599999994</v>
      </c>
      <c r="G15" s="52">
        <v>46391560.799999997</v>
      </c>
    </row>
    <row r="16" spans="1:7" ht="44.25" customHeight="1" x14ac:dyDescent="0.35">
      <c r="A16" s="8" t="s">
        <v>71</v>
      </c>
      <c r="B16" s="29"/>
      <c r="C16" s="53">
        <f>SUM(C6:C15)</f>
        <v>521597113.22899997</v>
      </c>
      <c r="D16" s="53">
        <f>SUM(D6:D15)</f>
        <v>316628353.86000001</v>
      </c>
      <c r="E16" s="53">
        <f>SUM(E6:E15)</f>
        <v>14080957559.787001</v>
      </c>
      <c r="F16" s="53">
        <f>SUM(F6:F15)</f>
        <v>14919183026.875999</v>
      </c>
      <c r="G16" s="53">
        <f>SUM(G6:G15)</f>
        <v>5224908430.4110003</v>
      </c>
    </row>
    <row r="17" spans="1:7" ht="41.25" customHeight="1" x14ac:dyDescent="0.35">
      <c r="A17" s="7" t="s">
        <v>72</v>
      </c>
      <c r="B17" s="12">
        <v>7</v>
      </c>
      <c r="C17" s="61" t="s">
        <v>91</v>
      </c>
      <c r="D17" s="61" t="s">
        <v>91</v>
      </c>
      <c r="E17" s="54">
        <v>-179214</v>
      </c>
      <c r="F17" s="54">
        <v>-179214</v>
      </c>
      <c r="G17" s="54">
        <v>-1179214</v>
      </c>
    </row>
    <row r="18" spans="1:7" ht="41.25" customHeight="1" x14ac:dyDescent="0.35">
      <c r="A18" s="7" t="s">
        <v>139</v>
      </c>
      <c r="B18" s="12"/>
      <c r="C18" s="60" t="s">
        <v>91</v>
      </c>
      <c r="D18" s="60" t="s">
        <v>91</v>
      </c>
      <c r="E18" s="54">
        <v>-10000000</v>
      </c>
      <c r="F18" s="54">
        <v>-10000000</v>
      </c>
      <c r="G18" s="54">
        <v>-10000000</v>
      </c>
    </row>
    <row r="19" spans="1:7" ht="42.75" customHeight="1" x14ac:dyDescent="0.35">
      <c r="A19" s="7" t="s">
        <v>41</v>
      </c>
      <c r="B19" s="12">
        <v>8</v>
      </c>
      <c r="C19" s="61" t="s">
        <v>91</v>
      </c>
      <c r="D19" s="60" t="s">
        <v>91</v>
      </c>
      <c r="E19" s="54">
        <v>-31237660</v>
      </c>
      <c r="F19" s="54">
        <f>E19</f>
        <v>-31237660</v>
      </c>
      <c r="G19" s="54">
        <v>-41338632.009999998</v>
      </c>
    </row>
    <row r="20" spans="1:7" ht="42.75" customHeight="1" thickBot="1" x14ac:dyDescent="0.4">
      <c r="A20" s="30" t="s">
        <v>73</v>
      </c>
      <c r="B20" s="31"/>
      <c r="C20" s="55">
        <f>SUM(C16:C19)</f>
        <v>521597113.22899997</v>
      </c>
      <c r="D20" s="55">
        <f>SUM(D16:D19)</f>
        <v>316628353.86000001</v>
      </c>
      <c r="E20" s="55">
        <f>SUM(E16:E19)</f>
        <v>14039540685.787001</v>
      </c>
      <c r="F20" s="55">
        <f>SUM(C20:E20)</f>
        <v>14877766152.876001</v>
      </c>
      <c r="G20" s="55">
        <f>SUM(G16:G19)</f>
        <v>5172390584.401</v>
      </c>
    </row>
    <row r="21" spans="1:7" ht="42.75" customHeight="1" thickTop="1" x14ac:dyDescent="0.65">
      <c r="A21" s="8" t="s">
        <v>42</v>
      </c>
      <c r="B21" s="29">
        <v>9</v>
      </c>
      <c r="C21" s="60" t="s">
        <v>91</v>
      </c>
      <c r="D21" s="60" t="s">
        <v>91</v>
      </c>
      <c r="E21" s="60" t="s">
        <v>91</v>
      </c>
      <c r="F21" s="57">
        <v>14877766153</v>
      </c>
      <c r="G21" s="56">
        <f>' Notes to the Account'!E143</f>
        <v>5172390584.4054003</v>
      </c>
    </row>
    <row r="22" spans="1:7" x14ac:dyDescent="0.35">
      <c r="A22" s="10"/>
      <c r="B22" s="12"/>
      <c r="C22" s="54"/>
      <c r="D22" s="54"/>
      <c r="E22" s="54"/>
      <c r="F22" s="54"/>
    </row>
    <row r="23" spans="1:7" x14ac:dyDescent="0.35">
      <c r="A23" s="7"/>
      <c r="B23" s="12"/>
      <c r="C23" s="54"/>
      <c r="D23" s="54"/>
      <c r="E23" s="54"/>
      <c r="F23" s="54"/>
    </row>
    <row r="24" spans="1:7" x14ac:dyDescent="0.35">
      <c r="A24" s="7"/>
      <c r="B24" s="12"/>
      <c r="C24" s="54"/>
      <c r="D24" s="54"/>
      <c r="E24" s="54"/>
      <c r="F24" s="53"/>
    </row>
    <row r="25" spans="1:7" x14ac:dyDescent="0.35">
      <c r="A25" s="7"/>
      <c r="B25" s="12"/>
      <c r="C25" s="54"/>
      <c r="D25" s="54"/>
      <c r="E25" s="54"/>
      <c r="F25" s="54"/>
    </row>
    <row r="26" spans="1:7" x14ac:dyDescent="0.35">
      <c r="A26" s="7"/>
      <c r="B26" s="12"/>
      <c r="C26" s="54"/>
      <c r="D26" s="54"/>
      <c r="E26" s="54"/>
      <c r="F26" s="54"/>
    </row>
    <row r="27" spans="1:7" x14ac:dyDescent="0.35">
      <c r="A27" s="7"/>
      <c r="B27" s="12"/>
      <c r="C27" s="54"/>
      <c r="D27" s="54"/>
      <c r="E27" s="54"/>
      <c r="F27" s="54"/>
    </row>
    <row r="28" spans="1:7" x14ac:dyDescent="0.35">
      <c r="A28" s="7"/>
      <c r="B28" s="12"/>
      <c r="C28" s="54"/>
      <c r="D28" s="54"/>
      <c r="E28" s="54"/>
      <c r="F28" s="54"/>
    </row>
    <row r="29" spans="1:7" x14ac:dyDescent="0.35">
      <c r="A29" s="7"/>
      <c r="B29" s="12"/>
      <c r="C29" s="54"/>
      <c r="D29" s="54"/>
      <c r="E29" s="54"/>
      <c r="F29" s="54"/>
    </row>
    <row r="30" spans="1:7" x14ac:dyDescent="0.35">
      <c r="A30" s="7"/>
      <c r="B30" s="12"/>
      <c r="C30" s="54"/>
      <c r="D30" s="54"/>
      <c r="E30" s="54"/>
      <c r="F30" s="54"/>
    </row>
    <row r="31" spans="1:7" x14ac:dyDescent="0.35">
      <c r="A31" s="7"/>
      <c r="B31" s="12"/>
      <c r="C31" s="54"/>
      <c r="D31" s="54"/>
      <c r="E31" s="54"/>
      <c r="F31" s="54"/>
    </row>
    <row r="32" spans="1:7" x14ac:dyDescent="0.35">
      <c r="A32" s="7"/>
      <c r="B32" s="12"/>
      <c r="C32" s="54"/>
      <c r="D32" s="54"/>
      <c r="E32" s="54"/>
      <c r="F32" s="54"/>
    </row>
    <row r="33" spans="1:6" x14ac:dyDescent="0.35">
      <c r="A33" s="7"/>
      <c r="B33" s="12"/>
      <c r="C33" s="54"/>
      <c r="D33" s="54"/>
      <c r="E33" s="54"/>
      <c r="F33" s="54"/>
    </row>
    <row r="34" spans="1:6" x14ac:dyDescent="0.35">
      <c r="A34" s="7"/>
      <c r="B34" s="12"/>
      <c r="C34" s="54"/>
      <c r="D34" s="54"/>
      <c r="E34" s="54"/>
      <c r="F34" s="54"/>
    </row>
    <row r="35" spans="1:6" x14ac:dyDescent="0.35">
      <c r="A35" s="7"/>
      <c r="B35" s="12"/>
      <c r="C35" s="54"/>
      <c r="D35" s="54"/>
      <c r="E35" s="54"/>
      <c r="F35" s="54"/>
    </row>
    <row r="36" spans="1:6" x14ac:dyDescent="0.35">
      <c r="A36" s="7"/>
      <c r="B36" s="12"/>
      <c r="C36" s="54"/>
      <c r="D36" s="54"/>
      <c r="E36" s="54"/>
      <c r="F36" s="54"/>
    </row>
  </sheetData>
  <mergeCells count="2">
    <mergeCell ref="A2:G2"/>
    <mergeCell ref="A1:G1"/>
  </mergeCells>
  <pageMargins left="0.25" right="0.25" top="0.75" bottom="0.75" header="0.3" footer="0.3"/>
  <pageSetup scale="66" orientation="portrait" r:id="rId1"/>
  <headerFooter>
    <oddFooter>&amp;C1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Cash Book</vt:lpstr>
      <vt:lpstr>Fixed Asset</vt:lpstr>
      <vt:lpstr>Trial Balance </vt:lpstr>
      <vt:lpstr> Notes to the Account</vt:lpstr>
      <vt:lpstr>Income Statement</vt:lpstr>
      <vt:lpstr>Final Account</vt:lpstr>
      <vt:lpstr>'Final Account'!Print_Area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Sceretary</dc:creator>
  <cp:lastModifiedBy>ANGLICAN CHURCH</cp:lastModifiedBy>
  <cp:lastPrinted>2025-02-13T07:37:17Z</cp:lastPrinted>
  <dcterms:created xsi:type="dcterms:W3CDTF">2019-10-21T16:48:50Z</dcterms:created>
  <dcterms:modified xsi:type="dcterms:W3CDTF">2026-01-12T13:22:02Z</dcterms:modified>
</cp:coreProperties>
</file>